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Hypothèses" sheetId="2" state="visible" r:id="rId4"/>
    <sheet name="Scénarios" sheetId="3" state="visible" r:id="rId5"/>
    <sheet name="Prévisions" sheetId="4" state="visible" r:id="rId6"/>
    <sheet name="Synthèse" sheetId="5" state="visible" r:id="rId7"/>
    <sheet name="Prix" sheetId="6" state="visible" r:id="rId8"/>
    <sheet name="Rentabilité" sheetId="7" state="visible" r:id="rId9"/>
    <sheet name="Retraits" sheetId="8" state="visible" r:id="rId10"/>
    <sheet name="Sensibilité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8" authorId="0">
      <text>
        <r>
          <rPr>
            <sz val="10"/>
            <rFont val="Arial"/>
            <family val="2"/>
          </rPr>
          <t xml:space="preserve">Intégration en place : quick-pay, commission selon les règles du super admin.</t>
        </r>
      </text>
    </comment>
    <comment ref="A39" authorId="0">
      <text>
        <r>
          <rPr>
            <sz val="10"/>
            <rFont val="Arial"/>
            <family val="2"/>
          </rPr>
          <t xml:space="preserve">Exemple : boutique en ligne, école, transport…</t>
        </r>
      </text>
    </comment>
    <comment ref="A40" authorId="0">
      <text>
        <r>
          <rPr>
            <sz val="10"/>
            <rFont val="Arial"/>
            <family val="2"/>
          </rPr>
          <t xml:space="preserve">Exemple.</t>
        </r>
      </text>
    </comment>
    <comment ref="A41" authorId="0">
      <text>
        <r>
          <rPr>
            <sz val="10"/>
            <rFont val="Arial"/>
            <family val="2"/>
          </rPr>
          <t xml:space="preserve">Exemple.</t>
        </r>
      </text>
    </comment>
  </commentList>
</comments>
</file>

<file path=xl/sharedStrings.xml><?xml version="1.0" encoding="utf-8"?>
<sst xmlns="http://schemas.openxmlformats.org/spreadsheetml/2006/main" count="433" uniqueCount="334">
  <si>
    <t xml:space="preserve">ScanLinkPay</t>
  </si>
  <si>
    <t xml:space="preserve">Modèle économique et étude de faisabilité</t>
  </si>
  <si>
    <t xml:space="preserve">Portefeuille mobile, paiements QR et carte, caisse et stock des entreprises, réseau de fournisseurs, API pour les applications partenaires</t>
  </si>
  <si>
    <t xml:space="preserve">Version du 23 octobre 2026 — document de travail</t>
  </si>
  <si>
    <t xml:space="preserve">Résultat en un coup d’œil</t>
  </si>
  <si>
    <t xml:space="preserve">Scénario étudié</t>
  </si>
  <si>
    <t xml:space="preserve">Chiffre d’affaires net — an 1</t>
  </si>
  <si>
    <t xml:space="preserve">Chiffre d’affaires net — an 3</t>
  </si>
  <si>
    <t xml:space="preserve">Bénéfice net — total 3 ans</t>
  </si>
  <si>
    <t xml:space="preserve">Premier mois bénéficiaire</t>
  </si>
  <si>
    <t xml:space="preserve">Besoin de trésorerie maximal</t>
  </si>
  <si>
    <t xml:space="preserve">Paiements nécessaires pour l’objectif (par mois)</t>
  </si>
  <si>
    <t xml:space="preserve">Les onglets</t>
  </si>
  <si>
    <t xml:space="preserve">Hypothèses</t>
  </si>
  <si>
    <t xml:space="preserve">Tous les prix, frais, coûts et applications partenaires. C’est ici qu’on modifie.</t>
  </si>
  <si>
    <t xml:space="preserve">Scénarios</t>
  </si>
  <si>
    <t xml:space="preserve">Pessimiste / Réaliste / Optimiste : rythme d’inscription, volumes, départs.</t>
  </si>
  <si>
    <t xml:space="preserve">Prévisions</t>
  </si>
  <si>
    <t xml:space="preserve">36 mois : utilisateurs, volumes, recettes par source, coûts, bénéfice, trésorerie.</t>
  </si>
  <si>
    <t xml:space="preserve">Synthèse</t>
  </si>
  <si>
    <t xml:space="preserve">Les 3 années côte à côte, repères clés et graphiques.</t>
  </si>
  <si>
    <t xml:space="preserve">Prix</t>
  </si>
  <si>
    <t xml:space="preserve">Choisir les prix des abonnements (entreprise, Fournisseur, formule annuelle), recette par utilisateur.</t>
  </si>
  <si>
    <t xml:space="preserve">Rentabilité</t>
  </si>
  <si>
    <t xml:space="preserve">Seuil de rentabilité, objectif de 1 000 £ par mois, ce que rapportent les applications partenaires.</t>
  </si>
  <si>
    <t xml:space="preserve">Retraits</t>
  </si>
  <si>
    <t xml:space="preserve">Frais de retrait face au coût FlexPaie : gain ou perte.</t>
  </si>
  <si>
    <t xml:space="preserve">Sensibilité</t>
  </si>
  <si>
    <t xml:space="preserve">Commission × volume : le résultat du mois 12.</t>
  </si>
  <si>
    <t xml:space="preserve">Code couleur</t>
  </si>
  <si>
    <t xml:space="preserve">Texte bleu</t>
  </si>
  <si>
    <t xml:space="preserve">Valeur saisie : hypothèse à discuter, modifiable</t>
  </si>
  <si>
    <t xml:space="preserve">Fond jaune</t>
  </si>
  <si>
    <t xml:space="preserve">Hypothèse clé (elle change beaucoup le résultat)</t>
  </si>
  <si>
    <t xml:space="preserve">Texte vert</t>
  </si>
  <si>
    <t xml:space="preserve">Valeur reprise d’un autre onglet</t>
  </si>
  <si>
    <t xml:space="preserve">Texte noir</t>
  </si>
  <si>
    <t xml:space="preserve">Calcul automatique : ne pas modifier</t>
  </si>
  <si>
    <t xml:space="preserve">Sources des tarifs</t>
  </si>
  <si>
    <t xml:space="preserve">•</t>
  </si>
  <si>
    <t xml:space="preserve">Commission 2,5 % (min 0,05 $, max 100 $), retrait 1 %, transfert gratuit : valeurs par défaut du code ScanLinkPay (migrations 002, 007, 008), réglables par le super admin.</t>
  </si>
  <si>
    <t xml:space="preserve">FlexPaie : ~2 % sur les retraits (à notre charge), ~2,5 % à 3 % sur les encaissements (payés par le client) — docs/FLEXPAIE.md.</t>
  </si>
  <si>
    <t xml:space="preserve">Abonnement Fournisseur 10 $ / mois, mois offerts sur l’année et essai réglés par le super admin (décision du 23/10/2026, migration 084).</t>
  </si>
  <si>
    <t xml:space="preserve">Mes dépenses Pro 5 000 CDF / mois (migration 025). Prix de l’abonnement entreprise : à remplacer par le prix réel.</t>
  </si>
  <si>
    <t xml:space="preserve">Volumes, adoption, coûts d’équipe et de marketing : hypothèses de travail à discuter, pas des chiffres constatés.</t>
  </si>
  <si>
    <t xml:space="preserve">Hypothèses — tout ce qui se modifie</t>
  </si>
  <si>
    <t xml:space="preserve">Bleu = valeur à discuter / modifier · Jaune = hypothèse clé · Les autres onglets se recalculent seuls.</t>
  </si>
  <si>
    <t xml:space="preserve">Général</t>
  </si>
  <si>
    <t xml:space="preserve">Paramètre</t>
  </si>
  <si>
    <t xml:space="preserve">Valeur</t>
  </si>
  <si>
    <t xml:space="preserve">Source / commentaire</t>
  </si>
  <si>
    <t xml:space="preserve">Réaliste</t>
  </si>
  <si>
    <t xml:space="preserve">Choisir Pessimiste, Réaliste ou Optimiste (liste). Les paramètres de chaque scénario sont dans l’onglet Scénarios.</t>
  </si>
  <si>
    <t xml:space="preserve">Taux de change (CDF pour 1 USD)</t>
  </si>
  <si>
    <t xml:space="preserve">Taux indicatif à mettre à jour (le super admin le règle aussi dans l’application). Le modèle est en USD.</t>
  </si>
  <si>
    <t xml:space="preserve">Taux de change (USD pour 1 GBP)</t>
  </si>
  <si>
    <t xml:space="preserve">Pour l’objectif exprimé en livres sterling (onglet Rentabilité). À mettre à jour.</t>
  </si>
  <si>
    <t xml:space="preserve">TVA RDC sur nos services</t>
  </si>
  <si>
    <t xml:space="preserve">TVA standard RDC 16 %. Mettre 0 si non assujetti. À confirmer avec le comptable.</t>
  </si>
  <si>
    <t xml:space="preserve">Nos prix incluent la TVA ? (1 = oui, 0 = non)</t>
  </si>
  <si>
    <t xml:space="preserve">1 = prudent : une part de chaque recette est reversée à l’État.</t>
  </si>
  <si>
    <t xml:space="preserve">Impôt sur les bénéfices (IBP)</t>
  </si>
  <si>
    <t xml:space="preserve">Taux de droit commun RDC (30 %). À confirmer avec le comptable.</t>
  </si>
  <si>
    <t xml:space="preserve">Paiements chez les commerçants et entreprises (tarifs du code)</t>
  </si>
  <si>
    <t xml:space="preserve">Commission ScanLinkPay sur un paiement</t>
  </si>
  <si>
    <t xml:space="preserve">Règle par défaut du code (USD et CDF : 2,5 %, min 0,05 $, max 100 $). Modifiable par le super admin → Commissions.</t>
  </si>
  <si>
    <t xml:space="preserve">Frais FlexPaie à l’encaissement supportés par ScanLinkPay</t>
  </si>
  <si>
    <t xml:space="preserve">FlexPaie facture ~2,5 % (3 % par carte) au PAYEUR, en plus du montant (docs/FLEXPAIE.md). Coût 0 pour ScanLinkPay tant que c’est le cas.</t>
  </si>
  <si>
    <t xml:space="preserve">Part de l’argent reçu retirée vers Mobile Money</t>
  </si>
  <si>
    <t xml:space="preserve">Hypothèse : le reste reste dans les portefeuilles ou repart en paiements.</t>
  </si>
  <si>
    <t xml:space="preserve">Frais de retrait facturés à l’utilisateur</t>
  </si>
  <si>
    <t xml:space="preserve">Valeur actuelle du code : 1 %. ⚠ Inférieure au coût FlexPaie : voir l’onglet Retraits (recommandé ≥ 2,5 %).</t>
  </si>
  <si>
    <t xml:space="preserve">Coût FlexPaie d’un retrait (payout)</t>
  </si>
  <si>
    <t xml:space="preserve">Environ 2 % selon FlexPaie (docs/FLEXPAIE.md). À confirmer sur le contrat.</t>
  </si>
  <si>
    <t xml:space="preserve">Frais de transfert entre portefeuilles</t>
  </si>
  <si>
    <t xml:space="preserve">Gratuit dans le code (attirer les utilisateurs).</t>
  </si>
  <si>
    <t xml:space="preserve">Transferts par client actif et par mois ($)</t>
  </si>
  <si>
    <t xml:space="preserve">Hypothèse.</t>
  </si>
  <si>
    <t xml:space="preserve">Montant moyen d’un paiement chez un commerçant ($)</t>
  </si>
  <si>
    <t xml:space="preserve">Sert à compter les transactions (onglet Rentabilité).</t>
  </si>
  <si>
    <t xml:space="preserve">Abonnements (prix réglés par le super admin)</t>
  </si>
  <si>
    <t xml:space="preserve">Abonnement entreprise — prix par mois ($)</t>
  </si>
  <si>
    <t xml:space="preserve">À remplacer par votre prix réel (super admin → Tarifs → Abonnements). Tout inclus : caisse, ventes, stock, rapports…</t>
  </si>
  <si>
    <t xml:space="preserve">Abonnement entreprise — essai gratuit (jours)</t>
  </si>
  <si>
    <t xml:space="preserve">Réglage super admin (informatif dans ce modèle).</t>
  </si>
  <si>
    <t xml:space="preserve">Abonnement Fournisseur — prix par mois ($)</t>
  </si>
  <si>
    <t xml:space="preserve">Décision du 23/10 : 10 $ par mois (migration 084).</t>
  </si>
  <si>
    <t xml:space="preserve">Abonnement Fournisseur — mois offerts sur l’année</t>
  </si>
  <si>
    <t xml:space="preserve">L’année = 12 mois pour le prix de (12 − N).</t>
  </si>
  <si>
    <t xml:space="preserve">Part des fournisseurs qui paient à l’année</t>
  </si>
  <si>
    <t xml:space="preserve">Mes dépenses « Pro » — prix par mois (CDF)</t>
  </si>
  <si>
    <t xml:space="preserve">Valeur par défaut du code (5 000 CDF), réglable par le super admin.</t>
  </si>
  <si>
    <t xml:space="preserve">Applications partenaires qui utilisent l’API ScanLinkPay</t>
  </si>
  <si>
    <t xml:space="preserve">Commission sur les paiements reçus par API : voir le tableau ci-dessous (une ligne par application).</t>
  </si>
  <si>
    <t xml:space="preserve">Application</t>
  </si>
  <si>
    <t xml:space="preserve">Mois de début</t>
  </si>
  <si>
    <t xml:space="preserve">Transactions / mois au début</t>
  </si>
  <si>
    <t xml:space="preserve">Montant moyen ($)</t>
  </si>
  <si>
    <t xml:space="preserve">Croissance mensuelle</t>
  </si>
  <si>
    <t xml:space="preserve">Commission</t>
  </si>
  <si>
    <t xml:space="preserve">HotelSaver (abonnements des hôtels + acomptes des clients)</t>
  </si>
  <si>
    <t xml:space="preserve">Application partenaire 2</t>
  </si>
  <si>
    <t xml:space="preserve">Application partenaire 3</t>
  </si>
  <si>
    <t xml:space="preserve">Application partenaire 4</t>
  </si>
  <si>
    <t xml:space="preserve">Mois de début 0 ou vide = application pas encore branchée. La commission suit par défaut la règle standard (modifiable ligne par ligne).</t>
  </si>
  <si>
    <t xml:space="preserve">Coûts fixes mensuels ($)</t>
  </si>
  <si>
    <t xml:space="preserve">Hébergement API + site (Render)</t>
  </si>
  <si>
    <t xml:space="preserve">Render : API Standard ~25 $ + site ~7 $ (à vérifier sur la facture).</t>
  </si>
  <si>
    <t xml:space="preserve">Base de données (Supabase Pro)</t>
  </si>
  <si>
    <t xml:space="preserve">Projet production. « LinkPay Test » sur l’offre gratuite.</t>
  </si>
  <si>
    <t xml:space="preserve">Redis (limites de requêtes)</t>
  </si>
  <si>
    <t xml:space="preserve">Si utilisé (REDIS_URL).</t>
  </si>
  <si>
    <t xml:space="preserve">Domaines, e-mails, petits services</t>
  </si>
  <si>
    <t xml:space="preserve">Équipe (développeurs)</t>
  </si>
  <si>
    <t xml:space="preserve">Hypothèse : 2 développeurs × 500 $. Mettre 0 pour voir le résultat « avant salaires ».</t>
  </si>
  <si>
    <t xml:space="preserve">Support client et agents terrain</t>
  </si>
  <si>
    <t xml:space="preserve">Marketing fixe (réseaux sociaux, affiches)</t>
  </si>
  <si>
    <t xml:space="preserve">Comptabilité, juridique, licences</t>
  </si>
  <si>
    <t xml:space="preserve">Hypothèse (agréments financiers, RCCM…).</t>
  </si>
  <si>
    <t xml:space="preserve">Bureau, internet, électricité</t>
  </si>
  <si>
    <t xml:space="preserve">Total coûts fixes mensuels</t>
  </si>
  <si>
    <t xml:space="preserve">Hausse annuelle des coûts fixes (an 2 et an 3)</t>
  </si>
  <si>
    <t xml:space="preserve">Embauches, serveurs plus gros. Appliquée au début de chaque année.</t>
  </si>
  <si>
    <t xml:space="preserve">Coûts variables</t>
  </si>
  <si>
    <t xml:space="preserve">Serveurs : coût pour 1 000 utilisateurs actifs ($/mois)</t>
  </si>
  <si>
    <t xml:space="preserve">Au-delà de l’offre de base.</t>
  </si>
  <si>
    <t xml:space="preserve">Prix d’un SMS ($)</t>
  </si>
  <si>
    <t xml:space="preserve">Alertes de sécurité, codes. À confirmer avec le fournisseur SMS.</t>
  </si>
  <si>
    <t xml:space="preserve">SMS par nouvel utilisateur</t>
  </si>
  <si>
    <t xml:space="preserve">Inscription, vérification.</t>
  </si>
  <si>
    <t xml:space="preserve">Coût pour gagner une entreprise ($)</t>
  </si>
  <si>
    <t xml:space="preserve">Démonstration, déplacement, formation.</t>
  </si>
  <si>
    <t xml:space="preserve">Coût pour gagner un commerçant ($)</t>
  </si>
  <si>
    <t xml:space="preserve">Affiche QR, visite.</t>
  </si>
  <si>
    <t xml:space="preserve">Coût pour gagner un client ($)</t>
  </si>
  <si>
    <t xml:space="preserve">Bouche-à-oreille, petites promotions.</t>
  </si>
  <si>
    <t xml:space="preserve">Démarrage (une seule fois)</t>
  </si>
  <si>
    <t xml:space="preserve">Compte Google Play (25 $)</t>
  </si>
  <si>
    <t xml:space="preserve">Frais unique Google.</t>
  </si>
  <si>
    <t xml:space="preserve">Création, enregistrement, agréments</t>
  </si>
  <si>
    <t xml:space="preserve">Impression des premières cartes ScanLinkPay</t>
  </si>
  <si>
    <t xml:space="preserve">Matériel et divers</t>
  </si>
  <si>
    <t xml:space="preserve">Hypothèse (téléphones de test, imprimante…).</t>
  </si>
  <si>
    <t xml:space="preserve">Total investissement de départ</t>
  </si>
  <si>
    <t xml:space="preserve">Objectif</t>
  </si>
  <si>
    <t xml:space="preserve">Bénéfice net mensuel visé (£)</t>
  </si>
  <si>
    <t xml:space="preserve">Objectif cité le 22/10 : gagner 1 000 £. Voir l’onglet Rentabilité.</t>
  </si>
  <si>
    <t xml:space="preserve">Scénarios — rythme d’adoption</t>
  </si>
  <si>
    <t xml:space="preserve">Colonne « Actif » = le scénario choisi dans Hypothèses. Modifier les colonnes bleues.</t>
  </si>
  <si>
    <t xml:space="preserve">Pessimiste</t>
  </si>
  <si>
    <t xml:space="preserve">Optimiste</t>
  </si>
  <si>
    <t xml:space="preserve">Actif</t>
  </si>
  <si>
    <t xml:space="preserve">Commentaire</t>
  </si>
  <si>
    <t xml:space="preserve">Entreprises au départ</t>
  </si>
  <si>
    <t xml:space="preserve">Entreprises déjà inscrites (supermarchés, électronique).</t>
  </si>
  <si>
    <t xml:space="preserve">Commerçants indépendants au départ</t>
  </si>
  <si>
    <t xml:space="preserve">Clients actifs au départ</t>
  </si>
  <si>
    <t xml:space="preserve">Nouvelles entreprises par mois (au début)</t>
  </si>
  <si>
    <t xml:space="preserve">Nouveaux commerçants par mois (au début)</t>
  </si>
  <si>
    <t xml:space="preserve">Nouveaux clients par mois (au début)</t>
  </si>
  <si>
    <t xml:space="preserve">Croissance mensuelle des inscriptions — an 1</t>
  </si>
  <si>
    <t xml:space="preserve">Les nouvelles inscriptions augmentent chaque mois de ce pourcentage.</t>
  </si>
  <si>
    <t xml:space="preserve">Croissance mensuelle des inscriptions — ans 2 et 3</t>
  </si>
  <si>
    <t xml:space="preserve">Départs mensuels (entreprises, commerçants)</t>
  </si>
  <si>
    <t xml:space="preserve">Churn.</t>
  </si>
  <si>
    <t xml:space="preserve">Départs mensuels (clients)</t>
  </si>
  <si>
    <t xml:space="preserve">Entreprises qui paient après l’essai</t>
  </si>
  <si>
    <t xml:space="preserve">Paiements reçus par commerçant et par mois ($)</t>
  </si>
  <si>
    <t xml:space="preserve">Via QR / carte ScanLinkPay.</t>
  </si>
  <si>
    <t xml:space="preserve">Paiements ScanLinkPay reçus par entreprise et par mois ($)</t>
  </si>
  <si>
    <t xml:space="preserve">Caisse + ventes : seulement la part payée par ScanLinkPay (QR, carte), pas les espèces — faible au début.</t>
  </si>
  <si>
    <t xml:space="preserve">Clients qui prennent « Mes dépenses Pro »</t>
  </si>
  <si>
    <t xml:space="preserve">Entreprises qui deviennent fournisseurs</t>
  </si>
  <si>
    <t xml:space="preserve">Fournisseurs qui paient après l’essai</t>
  </si>
  <si>
    <t xml:space="preserve">Commandes reçues par fournisseur et par mois</t>
  </si>
  <si>
    <t xml:space="preserve">Montant moyen d’une commande entre entreprises ($)</t>
  </si>
  <si>
    <t xml:space="preserve">Part des commandes payées par ScanLinkPay</t>
  </si>
  <si>
    <t xml:space="preserve">Le reste est payé en espèces / Mobile Money hors application (pas de commission).</t>
  </si>
  <si>
    <t xml:space="preserve">Multiplicateur des volumes des applications partenaires</t>
  </si>
  <si>
    <t xml:space="preserve">Appliqué au tableau des applications (Hypothèses).</t>
  </si>
  <si>
    <t xml:space="preserve">Prévisions mensuelles sur 3 ans (USD)</t>
  </si>
  <si>
    <t xml:space="preserve">Tout est calculé à partir des onglets Hypothèses et Scénarios. Ne rien saisir ici.</t>
  </si>
  <si>
    <t xml:space="preserve">Mois</t>
  </si>
  <si>
    <t xml:space="preserve">Année</t>
  </si>
  <si>
    <t xml:space="preserve">Utilisateurs</t>
  </si>
  <si>
    <t xml:space="preserve">Facteur de croissance des inscriptions</t>
  </si>
  <si>
    <t xml:space="preserve">x</t>
  </si>
  <si>
    <t xml:space="preserve">Nouvelles entreprises</t>
  </si>
  <si>
    <t xml:space="preserve">nb</t>
  </si>
  <si>
    <t xml:space="preserve">Entreprises actives</t>
  </si>
  <si>
    <t xml:space="preserve">Entreprises qui paient l’abonnement</t>
  </si>
  <si>
    <t xml:space="preserve">Nouveaux commerçants</t>
  </si>
  <si>
    <t xml:space="preserve">Commerçants actifs</t>
  </si>
  <si>
    <t xml:space="preserve">Nouveaux clients</t>
  </si>
  <si>
    <t xml:space="preserve">Clients actifs</t>
  </si>
  <si>
    <t xml:space="preserve">Fournisseurs (réseau entre entreprises)</t>
  </si>
  <si>
    <t xml:space="preserve">Fournisseurs qui paient l’abonnement Fournisseur</t>
  </si>
  <si>
    <t xml:space="preserve">Utilisateurs actifs (total)</t>
  </si>
  <si>
    <t xml:space="preserve">Volumes d’argent</t>
  </si>
  <si>
    <t xml:space="preserve">Paiements reçus par commerçants et entreprises</t>
  </si>
  <si>
    <t xml:space="preserve">$</t>
  </si>
  <si>
    <t xml:space="preserve">Commandes entre entreprises payées par ScanLinkPay</t>
  </si>
  <si>
    <t xml:space="preserve">Paiements reçus via l’API (toutes applications)</t>
  </si>
  <si>
    <t xml:space="preserve">Retraits vers Mobile Money</t>
  </si>
  <si>
    <t xml:space="preserve">Transferts entre portefeuilles</t>
  </si>
  <si>
    <t xml:space="preserve">Volume total qui passe par ScanLinkPay</t>
  </si>
  <si>
    <t xml:space="preserve">Recettes (prix payés, TVA comprise si applicable)</t>
  </si>
  <si>
    <t xml:space="preserve">Commissions — paiements chez commerçants et entreprises</t>
  </si>
  <si>
    <t xml:space="preserve">Commissions — commandes entre entreprises</t>
  </si>
  <si>
    <t xml:space="preserve">Commissions — applications partenaires (API)</t>
  </si>
  <si>
    <t xml:space="preserve">Frais de retrait</t>
  </si>
  <si>
    <t xml:space="preserve">Frais de transfert</t>
  </si>
  <si>
    <t xml:space="preserve">Abonnements entreprises</t>
  </si>
  <si>
    <t xml:space="preserve">Abonnements Fournisseur</t>
  </si>
  <si>
    <t xml:space="preserve">Mes dépenses Pro</t>
  </si>
  <si>
    <t xml:space="preserve">Recettes encaissées</t>
  </si>
  <si>
    <t xml:space="preserve">TVA reversée à l’État</t>
  </si>
  <si>
    <t xml:space="preserve">Chiffre d’affaires net (hors TVA)</t>
  </si>
  <si>
    <t xml:space="preserve">Coûts</t>
  </si>
  <si>
    <t xml:space="preserve">FlexPaie — coût des retraits</t>
  </si>
  <si>
    <t xml:space="preserve">FlexPaie — coût des encaissements (si à notre charge)</t>
  </si>
  <si>
    <t xml:space="preserve">Serveurs (selon le nombre d’utilisateurs)</t>
  </si>
  <si>
    <t xml:space="preserve">SMS</t>
  </si>
  <si>
    <t xml:space="preserve">Acquisition (gagner de nouveaux utilisateurs)</t>
  </si>
  <si>
    <t xml:space="preserve">Coûts fixes (équipe, hébergement, bureau…)</t>
  </si>
  <si>
    <t xml:space="preserve">Total des coûts</t>
  </si>
  <si>
    <t xml:space="preserve">Résultat</t>
  </si>
  <si>
    <t xml:space="preserve">Résultat avant impôt</t>
  </si>
  <si>
    <t xml:space="preserve">Impôt sur les bénéfices (estimé)</t>
  </si>
  <si>
    <t xml:space="preserve">Bénéfice net</t>
  </si>
  <si>
    <t xml:space="preserve">Trésorerie cumulée (après investissement de départ)</t>
  </si>
  <si>
    <t xml:space="preserve">Marge nette</t>
  </si>
  <si>
    <t xml:space="preserve">%</t>
  </si>
  <si>
    <t xml:space="preserve">Mois rentable (repère de calcul)</t>
  </si>
  <si>
    <t xml:space="preserve">Trésorerie positive (repère de calcul)</t>
  </si>
  <si>
    <t xml:space="preserve">Objectif atteint (repère de calcul)</t>
  </si>
  <si>
    <t xml:space="preserve">Synthèse sur 3 ans</t>
  </si>
  <si>
    <t xml:space="preserve">Indicateur</t>
  </si>
  <si>
    <t xml:space="preserve">An 1</t>
  </si>
  <si>
    <t xml:space="preserve">An 2</t>
  </si>
  <si>
    <t xml:space="preserve">An 3</t>
  </si>
  <si>
    <t xml:space="preserve">Total 3 ans</t>
  </si>
  <si>
    <t xml:space="preserve">Repères clés</t>
  </si>
  <si>
    <t xml:space="preserve">Utilisateurs en fin d’année</t>
  </si>
  <si>
    <t xml:space="preserve">Investissement remboursé (trésorerie &gt; 0)</t>
  </si>
  <si>
    <t xml:space="preserve">Bénéfice net du mois 36</t>
  </si>
  <si>
    <t xml:space="preserve">Fournisseurs abonnés</t>
  </si>
  <si>
    <t xml:space="preserve">Trésorerie cumulée à 3 ans</t>
  </si>
  <si>
    <t xml:space="preserve">Part des abonnements dans le CA (an 3)</t>
  </si>
  <si>
    <t xml:space="preserve">Volumes</t>
  </si>
  <si>
    <t xml:space="preserve">Part de l’API partenaires dans le CA (an 3)</t>
  </si>
  <si>
    <t xml:space="preserve">dont paiements via l’API des applications partenaires</t>
  </si>
  <si>
    <t xml:space="preserve">Recettes par source (TVA comprise)</t>
  </si>
  <si>
    <t xml:space="preserve">Commissions — paiements commerçants / entreprises</t>
  </si>
  <si>
    <t xml:space="preserve">Coûts et résultat</t>
  </si>
  <si>
    <t xml:space="preserve">FlexPaie — retraits</t>
  </si>
  <si>
    <t xml:space="preserve">Acquisition</t>
  </si>
  <si>
    <t xml:space="preserve">Coûts fixes</t>
  </si>
  <si>
    <t xml:space="preserve">Fixer les prix des abonnements</t>
  </si>
  <si>
    <t xml:space="preserve">Combien rapporte chaque prix, selon le nombre d’abonnés. Valeurs hors TVA (si TVA activée).</t>
  </si>
  <si>
    <t xml:space="preserve">Diviseur TVA</t>
  </si>
  <si>
    <t xml:space="preserve">A. Abonnement entreprise — recettes de l’an 1 selon le prix et la part qui paie</t>
  </si>
  <si>
    <t xml:space="preserve">Mois-entreprises actifs sur l’an 1 (scénario)</t>
  </si>
  <si>
    <t xml:space="preserve">Prix / mois ($) ↓   Part qui paie →</t>
  </si>
  <si>
    <t xml:space="preserve">Ligne surlignée = votre prix actuel. Plus le prix est haut, plus il faut de valeur visible (caisse, stock, rapports, fournisseurs) pour garder la même part qui paie.</t>
  </si>
  <si>
    <t xml:space="preserve">B. Abonnement Fournisseur — recettes par mois selon le prix et le nombre de fournisseurs abonnés</t>
  </si>
  <si>
    <t xml:space="preserve">Facteur annuel (part à l’année × mois offerts)</t>
  </si>
  <si>
    <t xml:space="preserve">Prix / mois ($) ↓   Fournisseurs abonnés →</t>
  </si>
  <si>
    <t xml:space="preserve">C. Formule annuelle Fournisseur — ce que coûte l’année selon les mois offerts</t>
  </si>
  <si>
    <t xml:space="preserve">Mois offerts</t>
  </si>
  <si>
    <t xml:space="preserve">Prix de l’année ($)</t>
  </si>
  <si>
    <t xml:space="preserve">Réduction</t>
  </si>
  <si>
    <t xml:space="preserve">Équivalent par mois ($)</t>
  </si>
  <si>
    <t xml:space="preserve">D. Ce que rapporte un utilisateur par mois (hors TVA, scénario actif)</t>
  </si>
  <si>
    <t xml:space="preserve">Type d’utilisateur</t>
  </si>
  <si>
    <t xml:space="preserve">Recette / mois ($)</t>
  </si>
  <si>
    <t xml:space="preserve">Coût direct / mois ($)</t>
  </si>
  <si>
    <t xml:space="preserve">Contribution ($)</t>
  </si>
  <si>
    <t xml:space="preserve">Commerçant</t>
  </si>
  <si>
    <t xml:space="preserve">Commission + frais de retrait − coût FlexPaie.</t>
  </si>
  <si>
    <t xml:space="preserve">Entreprise (abonnée)</t>
  </si>
  <si>
    <t xml:space="preserve">Avec l’abonnement.</t>
  </si>
  <si>
    <t xml:space="preserve">Fournisseur (abonné)</t>
  </si>
  <si>
    <t xml:space="preserve">Abonnement + commissions sur ses ventes payées par ScanLinkPay.</t>
  </si>
  <si>
    <t xml:space="preserve">Client (avec Pro)</t>
  </si>
  <si>
    <t xml:space="preserve">Le client paie peu : il fait vivre les commerçants.</t>
  </si>
  <si>
    <t xml:space="preserve">Seuil de rentabilité et objectif</t>
  </si>
  <si>
    <t xml:space="preserve">Combien de transactions, de commerçants ou d’abonnés faut-il pour couvrir les coûts et atteindre l’objectif ?</t>
  </si>
  <si>
    <t xml:space="preserve">A. Ce que rapporte 1 $ de paiement (hors TVA)</t>
  </si>
  <si>
    <t xml:space="preserve">Commission par $ payé</t>
  </si>
  <si>
    <t xml:space="preserve">Frais de retrait par $ payé (part retirée × frais)</t>
  </si>
  <si>
    <t xml:space="preserve">Coût FlexPaie par $ payé (retraits + encaissements)</t>
  </si>
  <si>
    <t xml:space="preserve">Contribution nette par $ payé</t>
  </si>
  <si>
    <t xml:space="preserve">Contribution par transaction moyenne</t>
  </si>
  <si>
    <t xml:space="preserve">B. Couvrir les coûts fixes (an 1)</t>
  </si>
  <si>
    <t xml:space="preserve">Coûts fixes mensuels (an 1)</t>
  </si>
  <si>
    <t xml:space="preserve">Abonnements entreprises et Fournisseur (moyenne mensuelle an 1, hors TVA)</t>
  </si>
  <si>
    <t xml:space="preserve">Reste à couvrir par les paiements</t>
  </si>
  <si>
    <t xml:space="preserve">Volume de paiements nécessaire par mois</t>
  </si>
  <si>
    <t xml:space="preserve">Soit, en transactions par mois</t>
  </si>
  <si>
    <t xml:space="preserve">Soit, en commerçants actifs</t>
  </si>
  <si>
    <t xml:space="preserve">Ou, en entreprises abonnées seules (abonnement + paiements)</t>
  </si>
  <si>
    <t xml:space="preserve">Objectif en $ (net d’impôt)</t>
  </si>
  <si>
    <t xml:space="preserve">Résultat avant impôt nécessaire</t>
  </si>
  <si>
    <t xml:space="preserve">Soit, en transactions par jour</t>
  </si>
  <si>
    <t xml:space="preserve">Mois où le modèle atteint l’objectif (scénario actif)</t>
  </si>
  <si>
    <t xml:space="preserve">D. Applications partenaires (API) — combien rapporte chaque application</t>
  </si>
  <si>
    <t xml:space="preserve">Transactions par application et par mois</t>
  </si>
  <si>
    <t xml:space="preserve">Exemple HotelSaver : un hôtel paie son abonnement et ses clients leurs acomptes par l’API ScanLinkPay ; chaque paiement rapporte la commission.</t>
  </si>
  <si>
    <t xml:space="preserve">Montant moyen par transaction ($)</t>
  </si>
  <si>
    <t xml:space="preserve">Recette par application et par mois (hors TVA)</t>
  </si>
  <si>
    <t xml:space="preserve">Nombre d’applications</t>
  </si>
  <si>
    <t xml:space="preserve">Recette / an ($)</t>
  </si>
  <si>
    <t xml:space="preserve">Part des coûts fixes couverte</t>
  </si>
  <si>
    <t xml:space="preserve">Transactions nécessaires par application pour couvrir seule les coûts fixes</t>
  </si>
  <si>
    <t xml:space="preserve">Frais de retrait : gain ou perte ?</t>
  </si>
  <si>
    <t xml:space="preserve">Le retrait vers Mobile Money coûte ~2 % chez FlexPaie. Nos frais doivent couvrir ce coût, plus la TVA.</t>
  </si>
  <si>
    <t xml:space="preserve">Volume retiré par mois (moyenne an 1, scénario)</t>
  </si>
  <si>
    <t xml:space="preserve">Coût FlexPaie par retrait</t>
  </si>
  <si>
    <t xml:space="preserve">Frais actuels (application)</t>
  </si>
  <si>
    <t xml:space="preserve">Recette hors TVA / 100 $</t>
  </si>
  <si>
    <t xml:space="preserve">Coût / 100 $</t>
  </si>
  <si>
    <t xml:space="preserve">Gain / 100 $</t>
  </si>
  <si>
    <t xml:space="preserve">Gain par mois ($)</t>
  </si>
  <si>
    <t xml:space="preserve">Verdict</t>
  </si>
  <si>
    <t xml:space="preserve">Recommandation : des frais de retrait d’au moins 2,5 % à 3 % (super admin → Frais et limites). La ligne surlignée = les frais actuels.</t>
  </si>
  <si>
    <t xml:space="preserve">Sensibilité : commission et volume</t>
  </si>
  <si>
    <t xml:space="preserve">Résultat avant impôt du mois 12 si l’on change la commission et le volume des paiements (le reste ne bouge pas).</t>
  </si>
  <si>
    <t xml:space="preserve">Résultat avant impôt du mois 12 (scénario)</t>
  </si>
  <si>
    <t xml:space="preserve">Volume soumis à commission au mois 12</t>
  </si>
  <si>
    <t xml:space="preserve">Commission actuelle</t>
  </si>
  <si>
    <t xml:space="preserve">Marge retraits par $ payé (hors TVA)</t>
  </si>
  <si>
    <t xml:space="preserve">Commission ↓   Volume →</t>
  </si>
  <si>
    <t xml:space="preserve">Lecture : en rouge, le mois 12 est en perte. « 1x » = le volume prévu ; « 2x » = deux fois plus de paiements.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</si>
</sst>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;\-"/>
    <numFmt numFmtId="166" formatCode="#,##0;\(#,##0\);\-"/>
    <numFmt numFmtId="167" formatCode="0.00"/>
    <numFmt numFmtId="168" formatCode="0.0%;\(0.0%\);\-"/>
    <numFmt numFmtId="169" formatCode="0"/>
    <numFmt numFmtId="170" formatCode="0.00%;\(0.00%\);\-"/>
    <numFmt numFmtId="171" formatCode="\$#,##0.00;&quot;($&quot;#,##0.00\);\-"/>
    <numFmt numFmtId="172" formatCode="#,##0&quot; FC&quot;;\(#,##0&quot; FC)&quot;;\-"/>
    <numFmt numFmtId="173" formatCode="\£#,##0;&quot;(£&quot;#,##0\);\-"/>
    <numFmt numFmtId="174" formatCode="0.0\x"/>
    <numFmt numFmtId="175" formatCode="&quot;An &quot;0"/>
    <numFmt numFmtId="176" formatCode="#,##0.0;\(#,##0.0\);\-"/>
    <numFmt numFmtId="177" formatCode="0%"/>
    <numFmt numFmtId="178" formatCode="0.000"/>
    <numFmt numFmtId="179" formatCode="0.00\x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DDE3FF"/>
      <name val="Arial"/>
      <family val="0"/>
      <charset val="1"/>
    </font>
    <font>
      <i val="true"/>
      <sz val="9"/>
      <color rgb="FFDDE3FF"/>
      <name val="Arial"/>
      <family val="0"/>
      <charset val="1"/>
    </font>
    <font>
      <b val="true"/>
      <sz val="12"/>
      <color rgb="FF0B1F6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A3BE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16"/>
      <color rgb="FF0B1F6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9"/>
      <color rgb="FF77777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B1F6B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1A3BE0"/>
        <bgColor rgb="FF0B1F6B"/>
      </patternFill>
    </fill>
    <fill>
      <patternFill patternType="solid">
        <fgColor rgb="FFDDE3FF"/>
        <bgColor rgb="FFEEF2FF"/>
      </patternFill>
    </fill>
    <fill>
      <patternFill patternType="solid">
        <fgColor rgb="FFEEF2FF"/>
        <bgColor rgb="FFE2F5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E8"/>
      </left>
      <right style="thin">
        <color rgb="FFBFC7E8"/>
      </right>
      <top style="thin">
        <color rgb="FFBFC7E8"/>
      </top>
      <bottom style="thin">
        <color rgb="FFBFC7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00"/>
      </font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DE2E2"/>
        </patternFill>
      </fill>
    </dxf>
    <dxf>
      <font>
        <name val="Arial"/>
        <charset val="1"/>
        <family val="0"/>
        <color rgb="FF006100"/>
      </font>
      <fill>
        <patternFill>
          <bgColor rgb="FFE2F5E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777777"/>
      <rgbColor rgb="FFD9D9D9"/>
      <rgbColor rgb="FF878787"/>
      <rgbColor rgb="FF8EA2F5"/>
      <rgbColor rgb="FFAB4744"/>
      <rgbColor rgb="FFFFF2CC"/>
      <rgbColor rgb="FFE2F5E6"/>
      <rgbColor rgb="FF660066"/>
      <rgbColor rgb="FFDC853E"/>
      <rgbColor rgb="FF4672A8"/>
      <rgbColor rgb="FFBFC7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DDE3FF"/>
      <rgbColor rgb="FFFFFF99"/>
      <rgbColor rgb="FF99CCFF"/>
      <rgbColor rgb="FFD09493"/>
      <rgbColor rgb="FFCC99FF"/>
      <rgbColor rgb="FFFDE2E2"/>
      <rgbColor rgb="FF4A7EBB"/>
      <rgbColor rgb="FF33CCCC"/>
      <rgbColor rgb="FF98B855"/>
      <rgbColor rgb="FFFFCC00"/>
      <rgbColor rgb="FFFF9900"/>
      <rgbColor rgb="FFFF6600"/>
      <rgbColor rgb="FF725990"/>
      <rgbColor rgb="FF93A9CE"/>
      <rgbColor rgb="FF0B1F6B"/>
      <rgbColor rgb="FF4299B0"/>
      <rgbColor rgb="FF006100"/>
      <rgbColor rgb="FF333300"/>
      <rgbColor rgb="FF993300"/>
      <rgbColor rgb="FFBE4B48"/>
      <rgbColor rgb="FF1A3BE0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Chiffre d’affaires, coûts et bénéfice net par mois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"Chiffre d’affaires net"</c:f>
              <c:strCache>
                <c:ptCount val="1"/>
                <c:pt idx="0">
                  <c:v>Chiffre d’affaires net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Prévisions!$C$4:$AL$4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Prévisions!$C$43:$AL$43</c:f>
              <c:numCache>
                <c:formatCode>\$#,##0;"($"#,##0\);\-</c:formatCode>
                <c:ptCount val="36"/>
                <c:pt idx="0">
                  <c:v>439.621897005445</c:v>
                </c:pt>
                <c:pt idx="1">
                  <c:v>625.144860058984</c:v>
                </c:pt>
                <c:pt idx="2">
                  <c:v>820.868029335254</c:v>
                </c:pt>
                <c:pt idx="3">
                  <c:v>1027.74980818776</c:v>
                </c:pt>
                <c:pt idx="4">
                  <c:v>1246.82063890846</c:v>
                </c:pt>
                <c:pt idx="5">
                  <c:v>1511.51649684623</c:v>
                </c:pt>
                <c:pt idx="6">
                  <c:v>1760.96112764913</c:v>
                </c:pt>
                <c:pt idx="7">
                  <c:v>2026.38672035224</c:v>
                </c:pt>
                <c:pt idx="8">
                  <c:v>2309.19236720087</c:v>
                </c:pt>
                <c:pt idx="9">
                  <c:v>2610.88512640382</c:v>
                </c:pt>
                <c:pt idx="10">
                  <c:v>2933.08877895448</c:v>
                </c:pt>
                <c:pt idx="11">
                  <c:v>3309.88086759634</c:v>
                </c:pt>
                <c:pt idx="12">
                  <c:v>3664.03225168111</c:v>
                </c:pt>
                <c:pt idx="13">
                  <c:v>4026.00203854794</c:v>
                </c:pt>
                <c:pt idx="14">
                  <c:v>4396.33245756339</c:v>
                </c:pt>
                <c:pt idx="15">
                  <c:v>4775.58280490101</c:v>
                </c:pt>
                <c:pt idx="16">
                  <c:v>5164.33048123577</c:v>
                </c:pt>
                <c:pt idx="17">
                  <c:v>5606.27552364511</c:v>
                </c:pt>
                <c:pt idx="18">
                  <c:v>6019.27622091776</c:v>
                </c:pt>
                <c:pt idx="19">
                  <c:v>6443.90202234327</c:v>
                </c:pt>
                <c:pt idx="20">
                  <c:v>6880.8361571477</c:v>
                </c:pt>
                <c:pt idx="21">
                  <c:v>7330.78766470963</c:v>
                </c:pt>
                <c:pt idx="22">
                  <c:v>7794.49289784709</c:v>
                </c:pt>
                <c:pt idx="23">
                  <c:v>8272.71710431798</c:v>
                </c:pt>
                <c:pt idx="24">
                  <c:v>8766.25609174777</c:v>
                </c:pt>
                <c:pt idx="25">
                  <c:v>9275.93798154964</c:v>
                </c:pt>
                <c:pt idx="26">
                  <c:v>9802.62505777977</c:v>
                </c:pt>
                <c:pt idx="27">
                  <c:v>10347.2157172764</c:v>
                </c:pt>
                <c:pt idx="28">
                  <c:v>10910.6465278673</c:v>
                </c:pt>
                <c:pt idx="29">
                  <c:v>11493.8944019002</c:v>
                </c:pt>
                <c:pt idx="30">
                  <c:v>12097.9788928537</c:v>
                </c:pt>
                <c:pt idx="31">
                  <c:v>12723.9646233294</c:v>
                </c:pt>
                <c:pt idx="32">
                  <c:v>13372.9638533094</c:v>
                </c:pt>
                <c:pt idx="33">
                  <c:v>14046.1391981891</c:v>
                </c:pt>
                <c:pt idx="34">
                  <c:v>14744.7065067714</c:v>
                </c:pt>
                <c:pt idx="35">
                  <c:v>15469.9379101322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"Coûts"</c:f>
              <c:strCache>
                <c:ptCount val="1"/>
                <c:pt idx="0">
                  <c:v>Coûts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Prévisions!$C$4:$AL$4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Prévisions!$C$52:$AL$52</c:f>
              <c:numCache>
                <c:formatCode>\$#,##0;"($"#,##0\);\-</c:formatCode>
                <c:ptCount val="36"/>
                <c:pt idx="0">
                  <c:v>2287.25908</c:v>
                </c:pt>
                <c:pt idx="1">
                  <c:v>2369.1421996</c:v>
                </c:pt>
                <c:pt idx="2">
                  <c:v>2455.850872972</c:v>
                </c:pt>
                <c:pt idx="3">
                  <c:v>2547.82355849164</c:v>
                </c:pt>
                <c:pt idx="4">
                  <c:v>2645.5321857224</c:v>
                </c:pt>
                <c:pt idx="5">
                  <c:v>2749.48488292807</c:v>
                </c:pt>
                <c:pt idx="6">
                  <c:v>2860.22892120911</c:v>
                </c:pt>
                <c:pt idx="7">
                  <c:v>2978.35389264411</c:v>
                </c:pt>
                <c:pt idx="8">
                  <c:v>3104.4951412066</c:v>
                </c:pt>
                <c:pt idx="9">
                  <c:v>3239.33746672716</c:v>
                </c:pt>
                <c:pt idx="10">
                  <c:v>3383.61912379086</c:v>
                </c:pt>
                <c:pt idx="11">
                  <c:v>3538.1361392097</c:v>
                </c:pt>
                <c:pt idx="12">
                  <c:v>4177.20505849741</c:v>
                </c:pt>
                <c:pt idx="13">
                  <c:v>4325.32941804022</c:v>
                </c:pt>
                <c:pt idx="14">
                  <c:v>4476.96686055906</c:v>
                </c:pt>
                <c:pt idx="15">
                  <c:v>4632.33103144963</c:v>
                </c:pt>
                <c:pt idx="16">
                  <c:v>4791.64188999443</c:v>
                </c:pt>
                <c:pt idx="17">
                  <c:v>4955.12603078942</c:v>
                </c:pt>
                <c:pt idx="18">
                  <c:v>5123.01701586602</c:v>
                </c:pt>
                <c:pt idx="19">
                  <c:v>5295.55571800571</c:v>
                </c:pt>
                <c:pt idx="20">
                  <c:v>5472.99067576245</c:v>
                </c:pt>
                <c:pt idx="21">
                  <c:v>5655.57846072615</c:v>
                </c:pt>
                <c:pt idx="22">
                  <c:v>5843.58405757978</c:v>
                </c:pt>
                <c:pt idx="23">
                  <c:v>6037.28125752275</c:v>
                </c:pt>
                <c:pt idx="24">
                  <c:v>6854.76556565377</c:v>
                </c:pt>
                <c:pt idx="25">
                  <c:v>7060.70462292867</c:v>
                </c:pt>
                <c:pt idx="26">
                  <c:v>7273.21364333098</c:v>
                </c:pt>
                <c:pt idx="27">
                  <c:v>7492.6058669169</c:v>
                </c:pt>
                <c:pt idx="28">
                  <c:v>7719.20552942116</c:v>
                </c:pt>
                <c:pt idx="29">
                  <c:v>7953.34834913571</c:v>
                </c:pt>
                <c:pt idx="30">
                  <c:v>8195.38203180041</c:v>
                </c:pt>
                <c:pt idx="31">
                  <c:v>8445.66679427253</c:v>
                </c:pt>
                <c:pt idx="32">
                  <c:v>8704.57590777127</c:v>
                </c:pt>
                <c:pt idx="33">
                  <c:v>8972.49626152366</c:v>
                </c:pt>
                <c:pt idx="34">
                  <c:v>9249.82894767017</c:v>
                </c:pt>
                <c:pt idx="35">
                  <c:v>9536.98986832087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"Bénéfice net"</c:f>
              <c:strCache>
                <c:ptCount val="1"/>
                <c:pt idx="0">
                  <c:v>Bénéfice net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Prévisions!$C$4:$AL$4</c:f>
              <c:multiLvlStrCache>
                <c:ptCount val="1"/>
                <c:lvl>
                  <c:pt idx="0">
                    <c:v>36</c:v>
                  </c:pt>
                </c:lvl>
                <c:lvl>
                  <c:pt idx="0">
                    <c:v>35</c:v>
                  </c:pt>
                </c:lvl>
                <c:lvl>
                  <c:pt idx="0">
                    <c:v>34</c:v>
                  </c:pt>
                </c:lvl>
                <c:lvl>
                  <c:pt idx="0">
                    <c:v>33</c:v>
                  </c:pt>
                </c:lvl>
                <c:lvl>
                  <c:pt idx="0">
                    <c:v>32</c:v>
                  </c:pt>
                </c:lvl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Prévisions!$C$57:$AL$57</c:f>
              <c:numCache>
                <c:formatCode>\$#,##0;"($"#,##0\);\-</c:formatCode>
                <c:ptCount val="36"/>
                <c:pt idx="0">
                  <c:v>-1847.63718299456</c:v>
                </c:pt>
                <c:pt idx="1">
                  <c:v>-1743.99733954102</c:v>
                </c:pt>
                <c:pt idx="2">
                  <c:v>-1634.98284363675</c:v>
                </c:pt>
                <c:pt idx="3">
                  <c:v>-1520.07375030388</c:v>
                </c:pt>
                <c:pt idx="4">
                  <c:v>-1398.71154681394</c:v>
                </c:pt>
                <c:pt idx="5">
                  <c:v>-1237.96838608184</c:v>
                </c:pt>
                <c:pt idx="6">
                  <c:v>-1099.26779355998</c:v>
                </c:pt>
                <c:pt idx="7">
                  <c:v>-951.967172291872</c:v>
                </c:pt>
                <c:pt idx="8">
                  <c:v>-795.302774005735</c:v>
                </c:pt>
                <c:pt idx="9">
                  <c:v>-628.452340323345</c:v>
                </c:pt>
                <c:pt idx="10">
                  <c:v>-450.530344836384</c:v>
                </c:pt>
                <c:pt idx="11">
                  <c:v>-228.255271613358</c:v>
                </c:pt>
                <c:pt idx="12">
                  <c:v>-513.172806816292</c:v>
                </c:pt>
                <c:pt idx="13">
                  <c:v>-299.327379492276</c:v>
                </c:pt>
                <c:pt idx="14">
                  <c:v>-80.6344029956726</c:v>
                </c:pt>
                <c:pt idx="15">
                  <c:v>100.276241415965</c:v>
                </c:pt>
                <c:pt idx="16">
                  <c:v>260.882013868938</c:v>
                </c:pt>
                <c:pt idx="17">
                  <c:v>455.804644998981</c:v>
                </c:pt>
                <c:pt idx="18">
                  <c:v>627.381443536217</c:v>
                </c:pt>
                <c:pt idx="19">
                  <c:v>803.842413036287</c:v>
                </c:pt>
                <c:pt idx="20">
                  <c:v>985.491836969671</c:v>
                </c:pt>
                <c:pt idx="21">
                  <c:v>1172.64644278844</c:v>
                </c:pt>
                <c:pt idx="22">
                  <c:v>1365.63618818711</c:v>
                </c:pt>
                <c:pt idx="23">
                  <c:v>1564.80509275666</c:v>
                </c:pt>
                <c:pt idx="24">
                  <c:v>1338.0433682658</c:v>
                </c:pt>
                <c:pt idx="25">
                  <c:v>1550.66335103468</c:v>
                </c:pt>
                <c:pt idx="26">
                  <c:v>1770.58799011415</c:v>
                </c:pt>
                <c:pt idx="27">
                  <c:v>1998.22689525162</c:v>
                </c:pt>
                <c:pt idx="28">
                  <c:v>2234.00869891228</c:v>
                </c:pt>
                <c:pt idx="29">
                  <c:v>2478.38223693515</c:v>
                </c:pt>
                <c:pt idx="30">
                  <c:v>2731.8178027373</c:v>
                </c:pt>
                <c:pt idx="31">
                  <c:v>2994.8084803398</c:v>
                </c:pt>
                <c:pt idx="32">
                  <c:v>3267.87156187667</c:v>
                </c:pt>
                <c:pt idx="33">
                  <c:v>3551.5500556658</c:v>
                </c:pt>
                <c:pt idx="34">
                  <c:v>3846.41429137085</c:v>
                </c:pt>
                <c:pt idx="35">
                  <c:v>4153.06362926794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454000"/>
        <c:axId val="41628348"/>
      </c:lineChart>
      <c:catAx>
        <c:axId val="414540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28348"/>
        <c:crosses val="autoZero"/>
        <c:auto val="1"/>
        <c:lblAlgn val="ctr"/>
        <c:lblOffset val="100"/>
        <c:noMultiLvlLbl val="0"/>
      </c:catAx>
      <c:valAx>
        <c:axId val="41628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540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D’où viennent les recettes (par an, 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"Commissions — paiements commerçants / entreprises"</c:f>
              <c:strCache>
                <c:ptCount val="1"/>
                <c:pt idx="0">
                  <c:v>Commissions — paiements commerçants / entreprises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Synthèse!$B$4:$D$4</c:f>
              <c:multiLvlStrCache>
                <c:ptCount val="1"/>
                <c:lvl>
                  <c:pt idx="0">
                    <c:v>An 3</c:v>
                  </c:pt>
                </c:lvl>
                <c:lvl>
                  <c:pt idx="0">
                    <c:v>An 2</c:v>
                  </c:pt>
                </c:lvl>
                <c:lvl>
                  <c:pt idx="0">
                    <c:v>An 1</c:v>
                  </c:pt>
                </c:lvl>
              </c:multiLvlStrCache>
            </c:multiLvlStrRef>
          </c:cat>
          <c:val>
            <c:numRef>
              <c:f>Synthèse!$B$16:$D$16</c:f>
              <c:numCache>
                <c:formatCode>\$#,##0;"($"#,##0\);\-</c:formatCode>
                <c:ptCount val="3"/>
                <c:pt idx="0">
                  <c:v>14736.7687344676</c:v>
                </c:pt>
                <c:pt idx="1">
                  <c:v>50151.8942243632</c:v>
                </c:pt>
                <c:pt idx="2">
                  <c:v>101095.392385436</c:v>
                </c:pt>
              </c:numCache>
            </c:numRef>
          </c:val>
        </c:ser>
        <c:ser>
          <c:idx val="1"/>
          <c:order val="1"/>
          <c:tx>
            <c:strRef>
              <c:f>"Commissions — commandes entre entreprises"</c:f>
              <c:strCache>
                <c:ptCount val="1"/>
                <c:pt idx="0">
                  <c:v>Commissions — commandes entre entreprises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Synthèse!$B$4:$D$4</c:f>
              <c:multiLvlStrCache>
                <c:ptCount val="1"/>
                <c:lvl>
                  <c:pt idx="0">
                    <c:v>An 3</c:v>
                  </c:pt>
                </c:lvl>
                <c:lvl>
                  <c:pt idx="0">
                    <c:v>An 2</c:v>
                  </c:pt>
                </c:lvl>
                <c:lvl>
                  <c:pt idx="0">
                    <c:v>An 1</c:v>
                  </c:pt>
                </c:lvl>
              </c:multiLvlStrCache>
            </c:multiLvlStrRef>
          </c:cat>
          <c:val>
            <c:numRef>
              <c:f>Synthèse!$B$17:$D$17</c:f>
              <c:numCache>
                <c:formatCode>\$#,##0;"($"#,##0\);\-</c:formatCode>
                <c:ptCount val="3"/>
                <c:pt idx="0">
                  <c:v>731.122732041197</c:v>
                </c:pt>
                <c:pt idx="1">
                  <c:v>2423.77511356233</c:v>
                </c:pt>
                <c:pt idx="2">
                  <c:v>4864.01626435976</c:v>
                </c:pt>
              </c:numCache>
            </c:numRef>
          </c:val>
        </c:ser>
        <c:ser>
          <c:idx val="2"/>
          <c:order val="2"/>
          <c:tx>
            <c:strRef>
              <c:f>"Commissions — applications partenaires (API)"</c:f>
              <c:strCache>
                <c:ptCount val="1"/>
                <c:pt idx="0">
                  <c:v>Commissions — applications partenaires (API)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Synthèse!$B$4:$D$4</c:f>
              <c:multiLvlStrCache>
                <c:ptCount val="1"/>
                <c:lvl>
                  <c:pt idx="0">
                    <c:v>An 3</c:v>
                  </c:pt>
                </c:lvl>
                <c:lvl>
                  <c:pt idx="0">
                    <c:v>An 2</c:v>
                  </c:pt>
                </c:lvl>
                <c:lvl>
                  <c:pt idx="0">
                    <c:v>An 1</c:v>
                  </c:pt>
                </c:lvl>
              </c:multiLvlStrCache>
            </c:multiLvlStrRef>
          </c:cat>
          <c:val>
            <c:numRef>
              <c:f>Synthèse!$B$18:$D$18</c:f>
              <c:numCache>
                <c:formatCode>\$#,##0;"($"#,##0\);\-</c:formatCode>
                <c:ptCount val="3"/>
                <c:pt idx="0">
                  <c:v>709.503949935584</c:v>
                </c:pt>
                <c:pt idx="1">
                  <c:v>3113.25625824274</c:v>
                </c:pt>
                <c:pt idx="2">
                  <c:v>7998.91308537643</c:v>
                </c:pt>
              </c:numCache>
            </c:numRef>
          </c:val>
        </c:ser>
        <c:ser>
          <c:idx val="3"/>
          <c:order val="3"/>
          <c:tx>
            <c:strRef>
              <c:f>"Frais de retrait"</c:f>
              <c:strCache>
                <c:ptCount val="1"/>
                <c:pt idx="0">
                  <c:v>Frais de retrait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Synthèse!$B$4:$D$4</c:f>
              <c:multiLvlStrCache>
                <c:ptCount val="1"/>
                <c:lvl>
                  <c:pt idx="0">
                    <c:v>An 3</c:v>
                  </c:pt>
                </c:lvl>
                <c:lvl>
                  <c:pt idx="0">
                    <c:v>An 2</c:v>
                  </c:pt>
                </c:lvl>
                <c:lvl>
                  <c:pt idx="0">
                    <c:v>An 1</c:v>
                  </c:pt>
                </c:lvl>
              </c:multiLvlStrCache>
            </c:multiLvlStrRef>
          </c:cat>
          <c:val>
            <c:numRef>
              <c:f>Synthèse!$B$19:$D$19</c:f>
              <c:numCache>
                <c:formatCode>\$#,##0;"($"#,##0\);\-</c:formatCode>
                <c:ptCount val="3"/>
                <c:pt idx="0">
                  <c:v>3712.2939519621</c:v>
                </c:pt>
                <c:pt idx="1">
                  <c:v>12618.1606411021</c:v>
                </c:pt>
                <c:pt idx="2">
                  <c:v>25430.2580759509</c:v>
                </c:pt>
              </c:numCache>
            </c:numRef>
          </c:val>
        </c:ser>
        <c:ser>
          <c:idx val="4"/>
          <c:order val="4"/>
          <c:tx>
            <c:strRef>
              <c:f>"Frais de transfert"</c:f>
              <c:strCache>
                <c:ptCount val="1"/>
                <c:pt idx="0">
                  <c:v>Frais de transfert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Synthèse!$B$4:$D$4</c:f>
              <c:multiLvlStrCache>
                <c:ptCount val="1"/>
                <c:lvl>
                  <c:pt idx="0">
                    <c:v>An 3</c:v>
                  </c:pt>
                </c:lvl>
                <c:lvl>
                  <c:pt idx="0">
                    <c:v>An 2</c:v>
                  </c:pt>
                </c:lvl>
                <c:lvl>
                  <c:pt idx="0">
                    <c:v>An 1</c:v>
                  </c:pt>
                </c:lvl>
              </c:multiLvlStrCache>
            </c:multiLvlStrRef>
          </c:cat>
          <c:val>
            <c:numRef>
              <c:f>Synthèse!$B$20:$D$20</c:f>
              <c:numCache>
                <c:formatCode>\$#,##0;"($"#,##0\);\-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"Abonnements entreprises"</c:f>
              <c:strCache>
                <c:ptCount val="1"/>
                <c:pt idx="0">
                  <c:v>Abonnements entreprises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Synthèse!$B$4:$D$4</c:f>
              <c:multiLvlStrCache>
                <c:ptCount val="1"/>
                <c:lvl>
                  <c:pt idx="0">
                    <c:v>An 3</c:v>
                  </c:pt>
                </c:lvl>
                <c:lvl>
                  <c:pt idx="0">
                    <c:v>An 2</c:v>
                  </c:pt>
                </c:lvl>
                <c:lvl>
                  <c:pt idx="0">
                    <c:v>An 1</c:v>
                  </c:pt>
                </c:lvl>
              </c:multiLvlStrCache>
            </c:multiLvlStrRef>
          </c:cat>
          <c:val>
            <c:numRef>
              <c:f>Synthèse!$B$21:$D$21</c:f>
              <c:numCache>
                <c:formatCode>\$#,##0;"($"#,##0\);\-</c:formatCode>
                <c:ptCount val="3"/>
                <c:pt idx="0">
                  <c:v>3046.34471683832</c:v>
                </c:pt>
                <c:pt idx="1">
                  <c:v>10099.0629731764</c:v>
                </c:pt>
                <c:pt idx="2">
                  <c:v>20266.7344348323</c:v>
                </c:pt>
              </c:numCache>
            </c:numRef>
          </c:val>
        </c:ser>
        <c:ser>
          <c:idx val="6"/>
          <c:order val="6"/>
          <c:tx>
            <c:strRef>
              <c:f>"Abonnements Fournisseur"</c:f>
              <c:strCache>
                <c:ptCount val="1"/>
                <c:pt idx="0">
                  <c:v>Abonnements Fournisseur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Synthèse!$B$4:$D$4</c:f>
              <c:multiLvlStrCache>
                <c:ptCount val="1"/>
                <c:lvl>
                  <c:pt idx="0">
                    <c:v>An 3</c:v>
                  </c:pt>
                </c:lvl>
                <c:lvl>
                  <c:pt idx="0">
                    <c:v>An 2</c:v>
                  </c:pt>
                </c:lvl>
                <c:lvl>
                  <c:pt idx="0">
                    <c:v>An 1</c:v>
                  </c:pt>
                </c:lvl>
              </c:multiLvlStrCache>
            </c:multiLvlStrRef>
          </c:cat>
          <c:val>
            <c:numRef>
              <c:f>Synthèse!$B$22:$D$22</c:f>
              <c:numCache>
                <c:formatCode>\$#,##0;"($"#,##0\);\-</c:formatCode>
                <c:ptCount val="3"/>
                <c:pt idx="0">
                  <c:v>289.40274809964</c:v>
                </c:pt>
                <c:pt idx="1">
                  <c:v>959.410982451755</c:v>
                </c:pt>
                <c:pt idx="2">
                  <c:v>1925.33977130907</c:v>
                </c:pt>
              </c:numCache>
            </c:numRef>
          </c:val>
        </c:ser>
        <c:ser>
          <c:idx val="7"/>
          <c:order val="7"/>
          <c:tx>
            <c:strRef>
              <c:f>"Mes dépenses Pro"</c:f>
              <c:strCache>
                <c:ptCount val="1"/>
                <c:pt idx="0">
                  <c:v>Mes dépenses Pro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Synthèse!$B$4:$D$4</c:f>
              <c:multiLvlStrCache>
                <c:ptCount val="1"/>
                <c:lvl>
                  <c:pt idx="0">
                    <c:v>An 3</c:v>
                  </c:pt>
                </c:lvl>
                <c:lvl>
                  <c:pt idx="0">
                    <c:v>An 2</c:v>
                  </c:pt>
                </c:lvl>
                <c:lvl>
                  <c:pt idx="0">
                    <c:v>An 1</c:v>
                  </c:pt>
                </c:lvl>
              </c:multiLvlStrCache>
            </c:multiLvlStrRef>
          </c:cat>
          <c:val>
            <c:numRef>
              <c:f>Synthèse!$B$23:$D$23</c:f>
              <c:numCache>
                <c:formatCode>\$#,##0;"($"#,##0\);\-</c:formatCode>
                <c:ptCount val="3"/>
                <c:pt idx="0">
                  <c:v>696.218560114418</c:v>
                </c:pt>
                <c:pt idx="1">
                  <c:v>2268.93825193651</c:v>
                </c:pt>
                <c:pt idx="2">
                  <c:v>4359.97542747476</c:v>
                </c:pt>
              </c:numCache>
            </c:numRef>
          </c:val>
        </c:ser>
        <c:gapWidth val="150"/>
        <c:overlap val="100"/>
        <c:axId val="51607509"/>
        <c:axId val="40227343"/>
      </c:barChart>
      <c:catAx>
        <c:axId val="51607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27343"/>
        <c:crosses val="autoZero"/>
        <c:auto val="1"/>
        <c:lblAlgn val="ctr"/>
        <c:lblOffset val="100"/>
        <c:noMultiLvlLbl val="0"/>
      </c:catAx>
      <c:valAx>
        <c:axId val="40227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07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0</xdr:rowOff>
    </xdr:from>
    <xdr:to>
      <xdr:col>4</xdr:col>
      <xdr:colOff>1011960</xdr:colOff>
      <xdr:row>50</xdr:row>
      <xdr:rowOff>21960</xdr:rowOff>
    </xdr:to>
    <xdr:graphicFrame>
      <xdr:nvGraphicFramePr>
        <xdr:cNvPr id="0" name="Chart 1"/>
        <xdr:cNvGraphicFramePr/>
      </xdr:nvGraphicFramePr>
      <xdr:xfrm>
        <a:off x="0" y="67816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10</xdr:col>
      <xdr:colOff>307440</xdr:colOff>
      <xdr:row>50</xdr:row>
      <xdr:rowOff>21960</xdr:rowOff>
    </xdr:to>
    <xdr:graphicFrame>
      <xdr:nvGraphicFramePr>
        <xdr:cNvPr id="1" name="Chart 2"/>
        <xdr:cNvGraphicFramePr/>
      </xdr:nvGraphicFramePr>
      <xdr:xfrm>
        <a:off x="8317080" y="678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canLinkPay_Modele_Economique.xlsx" TargetMode="External"/><Relationship Id="rId2" Type="http://schemas.openxmlformats.org/officeDocument/2006/relationships/hyperlink" Target="ScanLinkPay_Modele_Economique.xlsx" TargetMode="External"/><Relationship Id="rId3" Type="http://schemas.openxmlformats.org/officeDocument/2006/relationships/hyperlink" Target="ScanLinkPay_Modele_Economique.xlsx" TargetMode="External"/><Relationship Id="rId4" Type="http://schemas.openxmlformats.org/officeDocument/2006/relationships/hyperlink" Target="ScanLinkPay_Modele_Economique.xlsx" TargetMode="External"/><Relationship Id="rId5" Type="http://schemas.openxmlformats.org/officeDocument/2006/relationships/hyperlink" Target="ScanLinkPay_Modele_Economique.xlsx" TargetMode="External"/><Relationship Id="rId6" Type="http://schemas.openxmlformats.org/officeDocument/2006/relationships/hyperlink" Target="ScanLinkPay_Modele_Economique.xlsx" TargetMode="External"/><Relationship Id="rId7" Type="http://schemas.openxmlformats.org/officeDocument/2006/relationships/hyperlink" Target="ScanLinkPay_Modele_Economique.xlsx" TargetMode="External"/><Relationship Id="rId8" Type="http://schemas.openxmlformats.org/officeDocument/2006/relationships/hyperlink" Target="ScanLinkPay_Modele_Economique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6B"/>
    <pageSetUpPr fitToPage="true"/>
  </sheetPr>
  <dimension ref="A1:C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/>
      <c r="B1" s="1"/>
      <c r="C1" s="1"/>
    </row>
    <row r="2" customFormat="false" ht="31.5" hidden="false" customHeight="false" outlineLevel="0" collapsed="false">
      <c r="A2" s="1"/>
      <c r="B2" s="2" t="s">
        <v>0</v>
      </c>
      <c r="C2" s="1"/>
    </row>
    <row r="3" customFormat="false" ht="15" hidden="false" customHeight="false" outlineLevel="0" collapsed="false">
      <c r="A3" s="1"/>
      <c r="B3" s="1"/>
      <c r="C3" s="1"/>
    </row>
    <row r="4" customFormat="false" ht="17.35" hidden="false" customHeight="false" outlineLevel="0" collapsed="false">
      <c r="A4" s="1"/>
      <c r="B4" s="3" t="s">
        <v>1</v>
      </c>
      <c r="C4" s="1"/>
    </row>
    <row r="5" customFormat="false" ht="15" hidden="false" customHeight="false" outlineLevel="0" collapsed="false">
      <c r="A5" s="1"/>
      <c r="B5" s="4" t="s">
        <v>2</v>
      </c>
      <c r="C5" s="1"/>
    </row>
    <row r="6" customFormat="false" ht="15" hidden="false" customHeight="false" outlineLevel="0" collapsed="false">
      <c r="A6" s="1"/>
      <c r="B6" s="1"/>
      <c r="C6" s="1"/>
    </row>
    <row r="7" customFormat="false" ht="15" hidden="false" customHeight="false" outlineLevel="0" collapsed="false">
      <c r="A7" s="1"/>
      <c r="B7" s="5" t="s">
        <v>3</v>
      </c>
      <c r="C7" s="1"/>
    </row>
    <row r="8" customFormat="false" ht="15" hidden="false" customHeight="false" outlineLevel="0" collapsed="false">
      <c r="A8" s="1"/>
      <c r="B8" s="1"/>
      <c r="C8" s="1"/>
    </row>
    <row r="10" customFormat="false" ht="15" hidden="false" customHeight="false" outlineLevel="0" collapsed="false">
      <c r="B10" s="6" t="s">
        <v>4</v>
      </c>
    </row>
    <row r="11" customFormat="false" ht="15" hidden="false" customHeight="false" outlineLevel="0" collapsed="false">
      <c r="B11" s="7" t="s">
        <v>5</v>
      </c>
      <c r="C11" s="8" t="str">
        <f aca="false">Hypothèses!$B$7</f>
        <v>Réaliste</v>
      </c>
    </row>
    <row r="12" customFormat="false" ht="15" hidden="false" customHeight="false" outlineLevel="0" collapsed="false">
      <c r="B12" s="7" t="s">
        <v>6</v>
      </c>
      <c r="C12" s="9" t="n">
        <f aca="false">Synthèse!B24</f>
        <v>20622.116718499</v>
      </c>
    </row>
    <row r="13" customFormat="false" ht="15" hidden="false" customHeight="false" outlineLevel="0" collapsed="false">
      <c r="B13" s="7" t="s">
        <v>7</v>
      </c>
      <c r="C13" s="9" t="n">
        <f aca="false">Synthèse!D24</f>
        <v>143052.266762706</v>
      </c>
    </row>
    <row r="14" customFormat="false" ht="15" hidden="false" customHeight="false" outlineLevel="0" collapsed="false">
      <c r="B14" s="7" t="s">
        <v>8</v>
      </c>
      <c r="C14" s="9" t="n">
        <f aca="false">Synthèse!E32</f>
        <v>24821.9233440234</v>
      </c>
    </row>
    <row r="15" customFormat="false" ht="15" hidden="false" customHeight="false" outlineLevel="0" collapsed="false">
      <c r="B15" s="7" t="s">
        <v>9</v>
      </c>
      <c r="C15" s="8" t="str">
        <f aca="false">Synthèse!H5</f>
        <v>Mois 16</v>
      </c>
    </row>
    <row r="16" customFormat="false" ht="15" hidden="false" customHeight="false" outlineLevel="0" collapsed="false">
      <c r="B16" s="7" t="s">
        <v>10</v>
      </c>
      <c r="C16" s="9" t="n">
        <f aca="false">Synthèse!H7</f>
        <v>15455.2813353069</v>
      </c>
    </row>
    <row r="17" customFormat="false" ht="15" hidden="false" customHeight="false" outlineLevel="0" collapsed="false">
      <c r="B17" s="7" t="s">
        <v>11</v>
      </c>
      <c r="C17" s="9" t="n">
        <f aca="false">Rentabilité!B23</f>
        <v>237815.823174301</v>
      </c>
    </row>
    <row r="19" customFormat="false" ht="15" hidden="false" customHeight="false" outlineLevel="0" collapsed="false">
      <c r="B19" s="6" t="s">
        <v>12</v>
      </c>
    </row>
    <row r="20" customFormat="false" ht="15" hidden="false" customHeight="false" outlineLevel="0" collapsed="false">
      <c r="B20" s="10" t="s">
        <v>13</v>
      </c>
      <c r="C20" s="11" t="s">
        <v>14</v>
      </c>
    </row>
    <row r="21" customFormat="false" ht="15" hidden="false" customHeight="false" outlineLevel="0" collapsed="false">
      <c r="B21" s="10" t="s">
        <v>15</v>
      </c>
      <c r="C21" s="11" t="s">
        <v>16</v>
      </c>
    </row>
    <row r="22" customFormat="false" ht="15" hidden="false" customHeight="false" outlineLevel="0" collapsed="false">
      <c r="B22" s="10" t="s">
        <v>17</v>
      </c>
      <c r="C22" s="11" t="s">
        <v>18</v>
      </c>
    </row>
    <row r="23" customFormat="false" ht="15" hidden="false" customHeight="false" outlineLevel="0" collapsed="false">
      <c r="B23" s="10" t="s">
        <v>19</v>
      </c>
      <c r="C23" s="11" t="s">
        <v>20</v>
      </c>
    </row>
    <row r="24" customFormat="false" ht="23.85" hidden="false" customHeight="false" outlineLevel="0" collapsed="false">
      <c r="B24" s="10" t="s">
        <v>21</v>
      </c>
      <c r="C24" s="11" t="s">
        <v>22</v>
      </c>
    </row>
    <row r="25" customFormat="false" ht="23.85" hidden="false" customHeight="false" outlineLevel="0" collapsed="false">
      <c r="B25" s="10" t="s">
        <v>23</v>
      </c>
      <c r="C25" s="11" t="s">
        <v>24</v>
      </c>
    </row>
    <row r="26" customFormat="false" ht="15" hidden="false" customHeight="false" outlineLevel="0" collapsed="false">
      <c r="B26" s="10" t="s">
        <v>25</v>
      </c>
      <c r="C26" s="11" t="s">
        <v>26</v>
      </c>
    </row>
    <row r="27" customFormat="false" ht="15" hidden="false" customHeight="false" outlineLevel="0" collapsed="false">
      <c r="B27" s="10" t="s">
        <v>27</v>
      </c>
      <c r="C27" s="11" t="s">
        <v>28</v>
      </c>
    </row>
    <row r="29" customFormat="false" ht="15" hidden="false" customHeight="false" outlineLevel="0" collapsed="false">
      <c r="B29" s="6" t="s">
        <v>29</v>
      </c>
    </row>
    <row r="30" customFormat="false" ht="15" hidden="false" customHeight="false" outlineLevel="0" collapsed="false">
      <c r="B30" s="12" t="s">
        <v>30</v>
      </c>
      <c r="C30" s="13" t="s">
        <v>31</v>
      </c>
    </row>
    <row r="31" customFormat="false" ht="15" hidden="false" customHeight="false" outlineLevel="0" collapsed="false">
      <c r="B31" s="14" t="s">
        <v>32</v>
      </c>
      <c r="C31" s="13" t="s">
        <v>33</v>
      </c>
    </row>
    <row r="32" customFormat="false" ht="15" hidden="false" customHeight="false" outlineLevel="0" collapsed="false">
      <c r="B32" s="15" t="s">
        <v>34</v>
      </c>
      <c r="C32" s="13" t="s">
        <v>35</v>
      </c>
    </row>
    <row r="33" customFormat="false" ht="15" hidden="false" customHeight="false" outlineLevel="0" collapsed="false">
      <c r="B33" s="7" t="s">
        <v>36</v>
      </c>
      <c r="C33" s="13" t="s">
        <v>37</v>
      </c>
    </row>
    <row r="35" customFormat="false" ht="15" hidden="false" customHeight="false" outlineLevel="0" collapsed="false">
      <c r="B35" s="6" t="s">
        <v>38</v>
      </c>
    </row>
    <row r="36" customFormat="false" ht="25.5" hidden="false" customHeight="true" outlineLevel="0" collapsed="false">
      <c r="B36" s="13" t="s">
        <v>39</v>
      </c>
      <c r="C36" s="16" t="s">
        <v>40</v>
      </c>
    </row>
    <row r="37" customFormat="false" ht="25.5" hidden="false" customHeight="true" outlineLevel="0" collapsed="false">
      <c r="B37" s="13" t="s">
        <v>39</v>
      </c>
      <c r="C37" s="16" t="s">
        <v>41</v>
      </c>
    </row>
    <row r="38" customFormat="false" ht="25.5" hidden="false" customHeight="true" outlineLevel="0" collapsed="false">
      <c r="B38" s="13" t="s">
        <v>39</v>
      </c>
      <c r="C38" s="16" t="s">
        <v>42</v>
      </c>
    </row>
    <row r="39" customFormat="false" ht="25.5" hidden="false" customHeight="true" outlineLevel="0" collapsed="false">
      <c r="B39" s="13" t="s">
        <v>39</v>
      </c>
      <c r="C39" s="16" t="s">
        <v>43</v>
      </c>
    </row>
    <row r="40" customFormat="false" ht="25.5" hidden="false" customHeight="true" outlineLevel="0" collapsed="false">
      <c r="B40" s="13" t="s">
        <v>39</v>
      </c>
      <c r="C40" s="16" t="s">
        <v>44</v>
      </c>
    </row>
  </sheetData>
  <hyperlinks>
    <hyperlink ref="B20" r:id="rId1" location="'Hypothèses'!A1" display="Hypothèses"/>
    <hyperlink ref="B21" r:id="rId2" location="'Scénarios'!A1" display="Scénarios"/>
    <hyperlink ref="B22" r:id="rId3" location="'Prévisions'!A1" display="Prévisions"/>
    <hyperlink ref="B23" r:id="rId4" location="'Synthèse'!A1" display="Synthèse"/>
    <hyperlink ref="B24" r:id="rId5" location="'Prix'!A1" display="Prix"/>
    <hyperlink ref="B25" r:id="rId6" location="'Rentabilité'!A1" display="Rentabilité"/>
    <hyperlink ref="B26" r:id="rId7" location="'Retraits'!A1" display="Retraits"/>
    <hyperlink ref="B27" r:id="rId8" location="'Sensibilité'!A1" display="Sensibilité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BE0"/>
    <pageSetUpPr fitToPage="true"/>
  </sheetPr>
  <dimension ref="A1:F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7" t="s">
        <v>45</v>
      </c>
    </row>
    <row r="2" customFormat="false" ht="15" hidden="false" customHeight="false" outlineLevel="0" collapsed="false">
      <c r="A2" s="18" t="s">
        <v>46</v>
      </c>
    </row>
    <row r="5" customFormat="false" ht="15" hidden="false" customHeight="false" outlineLevel="0" collapsed="false">
      <c r="A5" s="19" t="s">
        <v>47</v>
      </c>
      <c r="B5" s="20"/>
      <c r="C5" s="20"/>
      <c r="D5" s="20"/>
    </row>
    <row r="6" customFormat="false" ht="15" hidden="false" customHeight="false" outlineLevel="0" collapsed="false">
      <c r="A6" s="21" t="s">
        <v>48</v>
      </c>
      <c r="B6" s="21" t="s">
        <v>49</v>
      </c>
      <c r="C6" s="21"/>
      <c r="D6" s="21" t="s">
        <v>50</v>
      </c>
    </row>
    <row r="7" customFormat="false" ht="15" hidden="false" customHeight="false" outlineLevel="0" collapsed="false">
      <c r="A7" s="13" t="s">
        <v>5</v>
      </c>
      <c r="B7" s="22" t="s">
        <v>51</v>
      </c>
      <c r="D7" s="23" t="s">
        <v>52</v>
      </c>
    </row>
    <row r="8" customFormat="false" ht="22.35" hidden="false" customHeight="false" outlineLevel="0" collapsed="false">
      <c r="A8" s="13" t="s">
        <v>53</v>
      </c>
      <c r="B8" s="24" t="n">
        <v>2850</v>
      </c>
      <c r="D8" s="25" t="s">
        <v>54</v>
      </c>
    </row>
    <row r="9" customFormat="false" ht="15" hidden="false" customHeight="false" outlineLevel="0" collapsed="false">
      <c r="A9" s="13" t="s">
        <v>55</v>
      </c>
      <c r="B9" s="26" t="n">
        <v>1.27</v>
      </c>
      <c r="D9" s="25" t="s">
        <v>56</v>
      </c>
    </row>
    <row r="10" customFormat="false" ht="15" hidden="false" customHeight="false" outlineLevel="0" collapsed="false">
      <c r="A10" s="13" t="s">
        <v>57</v>
      </c>
      <c r="B10" s="27" t="n">
        <v>0.16</v>
      </c>
      <c r="D10" s="25" t="s">
        <v>58</v>
      </c>
    </row>
    <row r="11" customFormat="false" ht="15" hidden="false" customHeight="false" outlineLevel="0" collapsed="false">
      <c r="A11" s="13" t="s">
        <v>59</v>
      </c>
      <c r="B11" s="28" t="n">
        <v>1</v>
      </c>
      <c r="D11" s="25" t="s">
        <v>60</v>
      </c>
    </row>
    <row r="12" customFormat="false" ht="15" hidden="false" customHeight="false" outlineLevel="0" collapsed="false">
      <c r="A12" s="13" t="s">
        <v>61</v>
      </c>
      <c r="B12" s="27" t="n">
        <v>0.3</v>
      </c>
      <c r="D12" s="25" t="s">
        <v>62</v>
      </c>
    </row>
    <row r="14" customFormat="false" ht="15" hidden="false" customHeight="false" outlineLevel="0" collapsed="false">
      <c r="A14" s="19" t="s">
        <v>63</v>
      </c>
      <c r="B14" s="20"/>
      <c r="C14" s="20"/>
      <c r="D14" s="20"/>
    </row>
    <row r="15" customFormat="false" ht="15" hidden="false" customHeight="false" outlineLevel="0" collapsed="false">
      <c r="A15" s="21" t="s">
        <v>48</v>
      </c>
      <c r="B15" s="21" t="s">
        <v>49</v>
      </c>
      <c r="C15" s="21"/>
      <c r="D15" s="21" t="s">
        <v>50</v>
      </c>
    </row>
    <row r="16" customFormat="false" ht="22.35" hidden="false" customHeight="false" outlineLevel="0" collapsed="false">
      <c r="A16" s="13" t="s">
        <v>64</v>
      </c>
      <c r="B16" s="29" t="n">
        <v>0.025</v>
      </c>
      <c r="D16" s="25" t="s">
        <v>65</v>
      </c>
    </row>
    <row r="17" customFormat="false" ht="22.35" hidden="false" customHeight="false" outlineLevel="0" collapsed="false">
      <c r="A17" s="13" t="s">
        <v>66</v>
      </c>
      <c r="B17" s="30" t="n">
        <v>0</v>
      </c>
      <c r="D17" s="25" t="s">
        <v>67</v>
      </c>
    </row>
    <row r="18" customFormat="false" ht="15" hidden="false" customHeight="false" outlineLevel="0" collapsed="false">
      <c r="A18" s="13" t="s">
        <v>68</v>
      </c>
      <c r="B18" s="27" t="n">
        <v>0.6</v>
      </c>
      <c r="D18" s="25" t="s">
        <v>69</v>
      </c>
    </row>
    <row r="19" customFormat="false" ht="22.35" hidden="false" customHeight="false" outlineLevel="0" collapsed="false">
      <c r="A19" s="13" t="s">
        <v>70</v>
      </c>
      <c r="B19" s="29" t="n">
        <v>0.01</v>
      </c>
      <c r="D19" s="25" t="s">
        <v>71</v>
      </c>
    </row>
    <row r="20" customFormat="false" ht="15" hidden="false" customHeight="false" outlineLevel="0" collapsed="false">
      <c r="A20" s="13" t="s">
        <v>72</v>
      </c>
      <c r="B20" s="30" t="n">
        <v>0.02</v>
      </c>
      <c r="D20" s="25" t="s">
        <v>73</v>
      </c>
    </row>
    <row r="21" customFormat="false" ht="15" hidden="false" customHeight="false" outlineLevel="0" collapsed="false">
      <c r="A21" s="13" t="s">
        <v>74</v>
      </c>
      <c r="B21" s="30" t="n">
        <v>0</v>
      </c>
      <c r="D21" s="25" t="s">
        <v>75</v>
      </c>
    </row>
    <row r="22" customFormat="false" ht="15" hidden="false" customHeight="false" outlineLevel="0" collapsed="false">
      <c r="A22" s="13" t="s">
        <v>76</v>
      </c>
      <c r="B22" s="31" t="n">
        <v>30</v>
      </c>
      <c r="D22" s="25" t="s">
        <v>77</v>
      </c>
    </row>
    <row r="23" customFormat="false" ht="15" hidden="false" customHeight="false" outlineLevel="0" collapsed="false">
      <c r="A23" s="13" t="s">
        <v>78</v>
      </c>
      <c r="B23" s="31" t="n">
        <v>20</v>
      </c>
      <c r="D23" s="25" t="s">
        <v>79</v>
      </c>
    </row>
    <row r="25" customFormat="false" ht="15" hidden="false" customHeight="false" outlineLevel="0" collapsed="false">
      <c r="A25" s="19" t="s">
        <v>80</v>
      </c>
      <c r="B25" s="20"/>
      <c r="C25" s="20"/>
      <c r="D25" s="20"/>
    </row>
    <row r="26" customFormat="false" ht="15" hidden="false" customHeight="false" outlineLevel="0" collapsed="false">
      <c r="A26" s="21" t="s">
        <v>48</v>
      </c>
      <c r="B26" s="21" t="s">
        <v>49</v>
      </c>
      <c r="C26" s="21"/>
      <c r="D26" s="21" t="s">
        <v>50</v>
      </c>
    </row>
    <row r="27" customFormat="false" ht="22.35" hidden="false" customHeight="false" outlineLevel="0" collapsed="false">
      <c r="A27" s="13" t="s">
        <v>81</v>
      </c>
      <c r="B27" s="32" t="n">
        <v>15</v>
      </c>
      <c r="D27" s="25" t="s">
        <v>82</v>
      </c>
    </row>
    <row r="28" customFormat="false" ht="15" hidden="false" customHeight="false" outlineLevel="0" collapsed="false">
      <c r="A28" s="13" t="s">
        <v>83</v>
      </c>
      <c r="B28" s="24" t="n">
        <v>30</v>
      </c>
      <c r="D28" s="25" t="s">
        <v>84</v>
      </c>
    </row>
    <row r="29" customFormat="false" ht="15" hidden="false" customHeight="false" outlineLevel="0" collapsed="false">
      <c r="A29" s="13" t="s">
        <v>85</v>
      </c>
      <c r="B29" s="32" t="n">
        <v>10</v>
      </c>
      <c r="D29" s="25" t="s">
        <v>86</v>
      </c>
    </row>
    <row r="30" customFormat="false" ht="15" hidden="false" customHeight="false" outlineLevel="0" collapsed="false">
      <c r="A30" s="13" t="s">
        <v>87</v>
      </c>
      <c r="B30" s="24" t="n">
        <v>2</v>
      </c>
      <c r="D30" s="25" t="s">
        <v>88</v>
      </c>
    </row>
    <row r="31" customFormat="false" ht="15" hidden="false" customHeight="false" outlineLevel="0" collapsed="false">
      <c r="A31" s="13" t="s">
        <v>89</v>
      </c>
      <c r="B31" s="27" t="n">
        <v>0.3</v>
      </c>
      <c r="D31" s="25" t="s">
        <v>77</v>
      </c>
    </row>
    <row r="32" customFormat="false" ht="15" hidden="false" customHeight="false" outlineLevel="0" collapsed="false">
      <c r="A32" s="13" t="s">
        <v>90</v>
      </c>
      <c r="B32" s="33" t="n">
        <v>5000</v>
      </c>
      <c r="D32" s="25" t="s">
        <v>91</v>
      </c>
    </row>
    <row r="34" customFormat="false" ht="15" hidden="false" customHeight="false" outlineLevel="0" collapsed="false">
      <c r="A34" s="19" t="s">
        <v>92</v>
      </c>
      <c r="B34" s="20"/>
      <c r="C34" s="20"/>
      <c r="D34" s="20"/>
    </row>
    <row r="35" customFormat="false" ht="15" hidden="false" customHeight="false" outlineLevel="0" collapsed="false">
      <c r="A35" s="21" t="s">
        <v>48</v>
      </c>
      <c r="B35" s="21" t="s">
        <v>49</v>
      </c>
      <c r="C35" s="21"/>
      <c r="D35" s="21" t="s">
        <v>50</v>
      </c>
    </row>
    <row r="36" customFormat="false" ht="15" hidden="false" customHeight="false" outlineLevel="0" collapsed="false">
      <c r="A36" s="34" t="s">
        <v>93</v>
      </c>
    </row>
    <row r="37" customFormat="false" ht="23.85" hidden="false" customHeight="false" outlineLevel="0" collapsed="false">
      <c r="A37" s="21" t="s">
        <v>94</v>
      </c>
      <c r="B37" s="21" t="s">
        <v>95</v>
      </c>
      <c r="C37" s="21" t="s">
        <v>96</v>
      </c>
      <c r="D37" s="21" t="s">
        <v>97</v>
      </c>
      <c r="E37" s="21" t="s">
        <v>98</v>
      </c>
      <c r="F37" s="21" t="s">
        <v>99</v>
      </c>
    </row>
    <row r="38" customFormat="false" ht="15" hidden="false" customHeight="false" outlineLevel="0" collapsed="false">
      <c r="A38" s="35" t="s">
        <v>100</v>
      </c>
      <c r="B38" s="24" t="n">
        <v>1</v>
      </c>
      <c r="C38" s="24" t="n">
        <v>40</v>
      </c>
      <c r="D38" s="31" t="n">
        <v>20</v>
      </c>
      <c r="E38" s="27" t="n">
        <v>0.06</v>
      </c>
      <c r="F38" s="36" t="n">
        <f aca="false">Hypothèses!$B$16</f>
        <v>0.025</v>
      </c>
    </row>
    <row r="39" customFormat="false" ht="15" hidden="false" customHeight="false" outlineLevel="0" collapsed="false">
      <c r="A39" s="35" t="s">
        <v>101</v>
      </c>
      <c r="B39" s="24" t="n">
        <v>6</v>
      </c>
      <c r="C39" s="24" t="n">
        <v>100</v>
      </c>
      <c r="D39" s="31" t="n">
        <v>15</v>
      </c>
      <c r="E39" s="27" t="n">
        <v>0.08</v>
      </c>
      <c r="F39" s="36" t="n">
        <f aca="false">Hypothèses!$B$16</f>
        <v>0.025</v>
      </c>
    </row>
    <row r="40" customFormat="false" ht="15" hidden="false" customHeight="false" outlineLevel="0" collapsed="false">
      <c r="A40" s="35" t="s">
        <v>102</v>
      </c>
      <c r="B40" s="24" t="n">
        <v>12</v>
      </c>
      <c r="C40" s="24" t="n">
        <v>150</v>
      </c>
      <c r="D40" s="31" t="n">
        <v>10</v>
      </c>
      <c r="E40" s="27" t="n">
        <v>0.08</v>
      </c>
      <c r="F40" s="36" t="n">
        <f aca="false">Hypothèses!$B$16</f>
        <v>0.025</v>
      </c>
    </row>
    <row r="41" customFormat="false" ht="15" hidden="false" customHeight="false" outlineLevel="0" collapsed="false">
      <c r="A41" s="35" t="s">
        <v>103</v>
      </c>
      <c r="B41" s="24" t="n">
        <v>18</v>
      </c>
      <c r="C41" s="24" t="n">
        <v>200</v>
      </c>
      <c r="D41" s="31" t="n">
        <v>10</v>
      </c>
      <c r="E41" s="27" t="n">
        <v>0.08</v>
      </c>
      <c r="F41" s="36" t="n">
        <f aca="false">Hypothèses!$B$16</f>
        <v>0.025</v>
      </c>
    </row>
    <row r="42" customFormat="false" ht="15" hidden="false" customHeight="false" outlineLevel="0" collapsed="false">
      <c r="A42" s="37" t="s">
        <v>104</v>
      </c>
    </row>
    <row r="44" customFormat="false" ht="15" hidden="false" customHeight="false" outlineLevel="0" collapsed="false">
      <c r="A44" s="19" t="s">
        <v>105</v>
      </c>
      <c r="B44" s="20"/>
      <c r="C44" s="20"/>
      <c r="D44" s="20"/>
    </row>
    <row r="45" customFormat="false" ht="15" hidden="false" customHeight="false" outlineLevel="0" collapsed="false">
      <c r="A45" s="21" t="s">
        <v>48</v>
      </c>
      <c r="B45" s="21" t="s">
        <v>49</v>
      </c>
      <c r="C45" s="21"/>
      <c r="D45" s="21" t="s">
        <v>50</v>
      </c>
    </row>
    <row r="46" customFormat="false" ht="15" hidden="false" customHeight="false" outlineLevel="0" collapsed="false">
      <c r="A46" s="13" t="s">
        <v>106</v>
      </c>
      <c r="B46" s="31" t="n">
        <v>32</v>
      </c>
      <c r="D46" s="25" t="s">
        <v>107</v>
      </c>
    </row>
    <row r="47" customFormat="false" ht="15" hidden="false" customHeight="false" outlineLevel="0" collapsed="false">
      <c r="A47" s="13" t="s">
        <v>108</v>
      </c>
      <c r="B47" s="31" t="n">
        <v>25</v>
      </c>
      <c r="D47" s="25" t="s">
        <v>109</v>
      </c>
    </row>
    <row r="48" customFormat="false" ht="15" hidden="false" customHeight="false" outlineLevel="0" collapsed="false">
      <c r="A48" s="13" t="s">
        <v>110</v>
      </c>
      <c r="B48" s="31" t="n">
        <v>10</v>
      </c>
      <c r="D48" s="25" t="s">
        <v>111</v>
      </c>
    </row>
    <row r="49" customFormat="false" ht="15" hidden="false" customHeight="false" outlineLevel="0" collapsed="false">
      <c r="A49" s="13" t="s">
        <v>112</v>
      </c>
      <c r="B49" s="31" t="n">
        <v>10</v>
      </c>
      <c r="D49" s="25"/>
    </row>
    <row r="50" customFormat="false" ht="15" hidden="false" customHeight="false" outlineLevel="0" collapsed="false">
      <c r="A50" s="13" t="s">
        <v>113</v>
      </c>
      <c r="B50" s="31" t="n">
        <v>1000</v>
      </c>
      <c r="D50" s="25" t="s">
        <v>114</v>
      </c>
    </row>
    <row r="51" customFormat="false" ht="15" hidden="false" customHeight="false" outlineLevel="0" collapsed="false">
      <c r="A51" s="13" t="s">
        <v>115</v>
      </c>
      <c r="B51" s="31" t="n">
        <v>300</v>
      </c>
      <c r="D51" s="25" t="s">
        <v>77</v>
      </c>
    </row>
    <row r="52" customFormat="false" ht="15" hidden="false" customHeight="false" outlineLevel="0" collapsed="false">
      <c r="A52" s="13" t="s">
        <v>116</v>
      </c>
      <c r="B52" s="31" t="n">
        <v>300</v>
      </c>
      <c r="D52" s="25" t="s">
        <v>77</v>
      </c>
    </row>
    <row r="53" customFormat="false" ht="15" hidden="false" customHeight="false" outlineLevel="0" collapsed="false">
      <c r="A53" s="13" t="s">
        <v>117</v>
      </c>
      <c r="B53" s="31" t="n">
        <v>150</v>
      </c>
      <c r="D53" s="25" t="s">
        <v>118</v>
      </c>
    </row>
    <row r="54" customFormat="false" ht="15" hidden="false" customHeight="false" outlineLevel="0" collapsed="false">
      <c r="A54" s="13" t="s">
        <v>119</v>
      </c>
      <c r="B54" s="31" t="n">
        <v>150</v>
      </c>
      <c r="D54" s="25" t="s">
        <v>77</v>
      </c>
    </row>
    <row r="55" customFormat="false" ht="15" hidden="false" customHeight="false" outlineLevel="0" collapsed="false">
      <c r="A55" s="38" t="s">
        <v>120</v>
      </c>
      <c r="B55" s="39" t="n">
        <f aca="false">SUM($B$46,$B$47,$B$48,$B$49,$B$50,$B$51,$B$52,$B$53,$B$54)</f>
        <v>1977</v>
      </c>
    </row>
    <row r="56" customFormat="false" ht="15" hidden="false" customHeight="false" outlineLevel="0" collapsed="false">
      <c r="A56" s="13" t="s">
        <v>121</v>
      </c>
      <c r="B56" s="27" t="n">
        <v>0.25</v>
      </c>
      <c r="D56" s="25" t="s">
        <v>122</v>
      </c>
    </row>
    <row r="58" customFormat="false" ht="15" hidden="false" customHeight="false" outlineLevel="0" collapsed="false">
      <c r="A58" s="19" t="s">
        <v>123</v>
      </c>
      <c r="B58" s="20"/>
      <c r="C58" s="20"/>
      <c r="D58" s="20"/>
    </row>
    <row r="59" customFormat="false" ht="15" hidden="false" customHeight="false" outlineLevel="0" collapsed="false">
      <c r="A59" s="21" t="s">
        <v>48</v>
      </c>
      <c r="B59" s="21" t="s">
        <v>49</v>
      </c>
      <c r="C59" s="21"/>
      <c r="D59" s="21" t="s">
        <v>50</v>
      </c>
    </row>
    <row r="60" customFormat="false" ht="15" hidden="false" customHeight="false" outlineLevel="0" collapsed="false">
      <c r="A60" s="13" t="s">
        <v>124</v>
      </c>
      <c r="B60" s="40" t="n">
        <v>4</v>
      </c>
      <c r="D60" s="25" t="s">
        <v>125</v>
      </c>
    </row>
    <row r="61" customFormat="false" ht="15" hidden="false" customHeight="false" outlineLevel="0" collapsed="false">
      <c r="A61" s="13" t="s">
        <v>126</v>
      </c>
      <c r="B61" s="40" t="n">
        <v>0.03</v>
      </c>
      <c r="D61" s="25" t="s">
        <v>127</v>
      </c>
    </row>
    <row r="62" customFormat="false" ht="15" hidden="false" customHeight="false" outlineLevel="0" collapsed="false">
      <c r="A62" s="13" t="s">
        <v>128</v>
      </c>
      <c r="B62" s="24" t="n">
        <v>3</v>
      </c>
      <c r="D62" s="25" t="s">
        <v>129</v>
      </c>
    </row>
    <row r="63" customFormat="false" ht="15" hidden="false" customHeight="false" outlineLevel="0" collapsed="false">
      <c r="A63" s="13" t="s">
        <v>130</v>
      </c>
      <c r="B63" s="31" t="n">
        <v>15</v>
      </c>
      <c r="D63" s="25" t="s">
        <v>131</v>
      </c>
    </row>
    <row r="64" customFormat="false" ht="15" hidden="false" customHeight="false" outlineLevel="0" collapsed="false">
      <c r="A64" s="13" t="s">
        <v>132</v>
      </c>
      <c r="B64" s="31" t="n">
        <v>3</v>
      </c>
      <c r="D64" s="25" t="s">
        <v>133</v>
      </c>
    </row>
    <row r="65" customFormat="false" ht="15" hidden="false" customHeight="false" outlineLevel="0" collapsed="false">
      <c r="A65" s="13" t="s">
        <v>134</v>
      </c>
      <c r="B65" s="40" t="n">
        <v>0.3</v>
      </c>
      <c r="D65" s="25" t="s">
        <v>135</v>
      </c>
    </row>
    <row r="67" customFormat="false" ht="15" hidden="false" customHeight="false" outlineLevel="0" collapsed="false">
      <c r="A67" s="19" t="s">
        <v>136</v>
      </c>
      <c r="B67" s="20"/>
      <c r="C67" s="20"/>
      <c r="D67" s="20"/>
    </row>
    <row r="68" customFormat="false" ht="15" hidden="false" customHeight="false" outlineLevel="0" collapsed="false">
      <c r="A68" s="21" t="s">
        <v>48</v>
      </c>
      <c r="B68" s="21" t="s">
        <v>49</v>
      </c>
      <c r="C68" s="21"/>
      <c r="D68" s="21" t="s">
        <v>50</v>
      </c>
    </row>
    <row r="69" customFormat="false" ht="15" hidden="false" customHeight="false" outlineLevel="0" collapsed="false">
      <c r="A69" s="13" t="s">
        <v>137</v>
      </c>
      <c r="B69" s="31" t="n">
        <v>25</v>
      </c>
      <c r="D69" s="25" t="s">
        <v>138</v>
      </c>
    </row>
    <row r="70" customFormat="false" ht="15" hidden="false" customHeight="false" outlineLevel="0" collapsed="false">
      <c r="A70" s="13" t="s">
        <v>139</v>
      </c>
      <c r="B70" s="31" t="n">
        <v>500</v>
      </c>
      <c r="D70" s="25" t="s">
        <v>77</v>
      </c>
    </row>
    <row r="71" customFormat="false" ht="15" hidden="false" customHeight="false" outlineLevel="0" collapsed="false">
      <c r="A71" s="13" t="s">
        <v>140</v>
      </c>
      <c r="B71" s="31" t="n">
        <v>200</v>
      </c>
      <c r="D71" s="25" t="s">
        <v>77</v>
      </c>
    </row>
    <row r="72" customFormat="false" ht="15" hidden="false" customHeight="false" outlineLevel="0" collapsed="false">
      <c r="A72" s="13" t="s">
        <v>141</v>
      </c>
      <c r="B72" s="31" t="n">
        <v>300</v>
      </c>
      <c r="D72" s="25" t="s">
        <v>142</v>
      </c>
    </row>
    <row r="73" customFormat="false" ht="15" hidden="false" customHeight="false" outlineLevel="0" collapsed="false">
      <c r="A73" s="38" t="s">
        <v>143</v>
      </c>
      <c r="B73" s="39" t="n">
        <f aca="false">SUM($B$69:$B$72)</f>
        <v>1025</v>
      </c>
    </row>
    <row r="75" customFormat="false" ht="15" hidden="false" customHeight="false" outlineLevel="0" collapsed="false">
      <c r="A75" s="19" t="s">
        <v>144</v>
      </c>
      <c r="B75" s="20"/>
      <c r="C75" s="20"/>
      <c r="D75" s="20"/>
    </row>
    <row r="76" customFormat="false" ht="15" hidden="false" customHeight="false" outlineLevel="0" collapsed="false">
      <c r="A76" s="21" t="s">
        <v>48</v>
      </c>
      <c r="B76" s="21" t="s">
        <v>49</v>
      </c>
      <c r="C76" s="21"/>
      <c r="D76" s="21" t="s">
        <v>50</v>
      </c>
    </row>
    <row r="77" customFormat="false" ht="15" hidden="false" customHeight="false" outlineLevel="0" collapsed="false">
      <c r="A77" s="13" t="s">
        <v>145</v>
      </c>
      <c r="B77" s="41" t="n">
        <v>1000</v>
      </c>
      <c r="D77" s="25" t="s">
        <v>146</v>
      </c>
    </row>
  </sheetData>
  <dataValidations count="1">
    <dataValidation allowBlank="false" errorStyle="stop" operator="between" showDropDown="false" showErrorMessage="false" showInputMessage="false" sqref="B7" type="list">
      <formula1>"Pessimiste,Réaliste,Optimiste"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BE0"/>
    <pageSetUpPr fitToPage="tru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5"/>
    <col collapsed="false" customWidth="true" hidden="false" outlineLevel="0" max="6" min="6" style="0" width="55"/>
  </cols>
  <sheetData>
    <row r="1" customFormat="false" ht="24" hidden="false" customHeight="true" outlineLevel="0" collapsed="false">
      <c r="A1" s="17" t="s">
        <v>147</v>
      </c>
    </row>
    <row r="2" customFormat="false" ht="15" hidden="false" customHeight="false" outlineLevel="0" collapsed="false">
      <c r="A2" s="18" t="s">
        <v>148</v>
      </c>
    </row>
    <row r="4" customFormat="false" ht="15" hidden="false" customHeight="false" outlineLevel="0" collapsed="false">
      <c r="A4" s="21" t="s">
        <v>48</v>
      </c>
      <c r="B4" s="21" t="s">
        <v>149</v>
      </c>
      <c r="C4" s="21" t="s">
        <v>51</v>
      </c>
      <c r="D4" s="21" t="s">
        <v>150</v>
      </c>
      <c r="E4" s="21" t="s">
        <v>151</v>
      </c>
      <c r="F4" s="21" t="s">
        <v>152</v>
      </c>
    </row>
    <row r="5" customFormat="false" ht="15" hidden="false" customHeight="false" outlineLevel="0" collapsed="false">
      <c r="A5" s="13" t="s">
        <v>153</v>
      </c>
      <c r="B5" s="24" t="n">
        <v>3</v>
      </c>
      <c r="C5" s="24" t="n">
        <v>5</v>
      </c>
      <c r="D5" s="24" t="n">
        <v>10</v>
      </c>
      <c r="E5" s="42" t="n">
        <f aca="false">INDEX(B5:D5,MATCH(Hypothèses!$B$7,$B$4:$D$4,0))</f>
        <v>5</v>
      </c>
      <c r="F5" s="23" t="s">
        <v>154</v>
      </c>
    </row>
    <row r="6" customFormat="false" ht="15" hidden="false" customHeight="false" outlineLevel="0" collapsed="false">
      <c r="A6" s="13" t="s">
        <v>155</v>
      </c>
      <c r="B6" s="24" t="n">
        <v>5</v>
      </c>
      <c r="C6" s="24" t="n">
        <v>10</v>
      </c>
      <c r="D6" s="24" t="n">
        <v>25</v>
      </c>
      <c r="E6" s="42" t="n">
        <f aca="false">INDEX(B6:D6,MATCH(Hypothèses!$B$7,$B$4:$D$4,0))</f>
        <v>10</v>
      </c>
      <c r="F6" s="23"/>
    </row>
    <row r="7" customFormat="false" ht="15" hidden="false" customHeight="false" outlineLevel="0" collapsed="false">
      <c r="A7" s="13" t="s">
        <v>156</v>
      </c>
      <c r="B7" s="24" t="n">
        <v>100</v>
      </c>
      <c r="C7" s="24" t="n">
        <v>200</v>
      </c>
      <c r="D7" s="24" t="n">
        <v>500</v>
      </c>
      <c r="E7" s="42" t="n">
        <f aca="false">INDEX(B7:D7,MATCH(Hypothèses!$B$7,$B$4:$D$4,0))</f>
        <v>200</v>
      </c>
      <c r="F7" s="23"/>
    </row>
    <row r="8" customFormat="false" ht="15" hidden="false" customHeight="false" outlineLevel="0" collapsed="false">
      <c r="A8" s="13" t="s">
        <v>157</v>
      </c>
      <c r="B8" s="24" t="n">
        <v>1</v>
      </c>
      <c r="C8" s="24" t="n">
        <v>3</v>
      </c>
      <c r="D8" s="24" t="n">
        <v>6</v>
      </c>
      <c r="E8" s="42" t="n">
        <f aca="false">INDEX(B8:D8,MATCH(Hypothèses!$B$7,$B$4:$D$4,0))</f>
        <v>3</v>
      </c>
      <c r="F8" s="23"/>
    </row>
    <row r="9" customFormat="false" ht="15" hidden="false" customHeight="false" outlineLevel="0" collapsed="false">
      <c r="A9" s="13" t="s">
        <v>158</v>
      </c>
      <c r="B9" s="24" t="n">
        <v>5</v>
      </c>
      <c r="C9" s="24" t="n">
        <v>10</v>
      </c>
      <c r="D9" s="24" t="n">
        <v>20</v>
      </c>
      <c r="E9" s="42" t="n">
        <f aca="false">INDEX(B9:D9,MATCH(Hypothèses!$B$7,$B$4:$D$4,0))</f>
        <v>10</v>
      </c>
      <c r="F9" s="23"/>
    </row>
    <row r="10" customFormat="false" ht="15" hidden="false" customHeight="false" outlineLevel="0" collapsed="false">
      <c r="A10" s="13" t="s">
        <v>159</v>
      </c>
      <c r="B10" s="24" t="n">
        <v>80</v>
      </c>
      <c r="C10" s="24" t="n">
        <v>200</v>
      </c>
      <c r="D10" s="24" t="n">
        <v>400</v>
      </c>
      <c r="E10" s="42" t="n">
        <f aca="false">INDEX(B10:D10,MATCH(Hypothèses!$B$7,$B$4:$D$4,0))</f>
        <v>200</v>
      </c>
      <c r="F10" s="23"/>
    </row>
    <row r="11" customFormat="false" ht="15" hidden="false" customHeight="false" outlineLevel="0" collapsed="false">
      <c r="A11" s="13" t="s">
        <v>160</v>
      </c>
      <c r="B11" s="27" t="n">
        <v>0.04</v>
      </c>
      <c r="C11" s="27" t="n">
        <v>0.08</v>
      </c>
      <c r="D11" s="27" t="n">
        <v>0.12</v>
      </c>
      <c r="E11" s="43" t="n">
        <f aca="false">INDEX(B11:D11,MATCH(Hypothèses!$B$7,$B$4:$D$4,0))</f>
        <v>0.08</v>
      </c>
      <c r="F11" s="23" t="s">
        <v>161</v>
      </c>
    </row>
    <row r="12" customFormat="false" ht="15" hidden="false" customHeight="false" outlineLevel="0" collapsed="false">
      <c r="A12" s="13" t="s">
        <v>162</v>
      </c>
      <c r="B12" s="27" t="n">
        <v>0.02</v>
      </c>
      <c r="C12" s="27" t="n">
        <v>0.04</v>
      </c>
      <c r="D12" s="27" t="n">
        <v>0.06</v>
      </c>
      <c r="E12" s="43" t="n">
        <f aca="false">INDEX(B12:D12,MATCH(Hypothèses!$B$7,$B$4:$D$4,0))</f>
        <v>0.04</v>
      </c>
      <c r="F12" s="23"/>
    </row>
    <row r="13" customFormat="false" ht="15" hidden="false" customHeight="false" outlineLevel="0" collapsed="false">
      <c r="A13" s="13" t="s">
        <v>163</v>
      </c>
      <c r="B13" s="27" t="n">
        <v>0.05</v>
      </c>
      <c r="C13" s="27" t="n">
        <v>0.03</v>
      </c>
      <c r="D13" s="27" t="n">
        <v>0.02</v>
      </c>
      <c r="E13" s="43" t="n">
        <f aca="false">INDEX(B13:D13,MATCH(Hypothèses!$B$7,$B$4:$D$4,0))</f>
        <v>0.03</v>
      </c>
      <c r="F13" s="23" t="s">
        <v>164</v>
      </c>
    </row>
    <row r="14" customFormat="false" ht="15" hidden="false" customHeight="false" outlineLevel="0" collapsed="false">
      <c r="A14" s="13" t="s">
        <v>165</v>
      </c>
      <c r="B14" s="27" t="n">
        <v>0.08</v>
      </c>
      <c r="C14" s="27" t="n">
        <v>0.05</v>
      </c>
      <c r="D14" s="27" t="n">
        <v>0.04</v>
      </c>
      <c r="E14" s="43" t="n">
        <f aca="false">INDEX(B14:D14,MATCH(Hypothèses!$B$7,$B$4:$D$4,0))</f>
        <v>0.05</v>
      </c>
      <c r="F14" s="23"/>
    </row>
    <row r="15" customFormat="false" ht="15" hidden="false" customHeight="false" outlineLevel="0" collapsed="false">
      <c r="A15" s="13" t="s">
        <v>166</v>
      </c>
      <c r="B15" s="27" t="n">
        <v>0.4</v>
      </c>
      <c r="C15" s="27" t="n">
        <v>0.6</v>
      </c>
      <c r="D15" s="27" t="n">
        <v>0.75</v>
      </c>
      <c r="E15" s="43" t="n">
        <f aca="false">INDEX(B15:D15,MATCH(Hypothèses!$B$7,$B$4:$D$4,0))</f>
        <v>0.6</v>
      </c>
      <c r="F15" s="23"/>
    </row>
    <row r="16" customFormat="false" ht="15" hidden="false" customHeight="false" outlineLevel="0" collapsed="false">
      <c r="A16" s="13" t="s">
        <v>167</v>
      </c>
      <c r="B16" s="31" t="n">
        <v>100</v>
      </c>
      <c r="C16" s="31" t="n">
        <v>300</v>
      </c>
      <c r="D16" s="31" t="n">
        <v>600</v>
      </c>
      <c r="E16" s="44" t="n">
        <f aca="false">INDEX(B16:D16,MATCH(Hypothèses!$B$7,$B$4:$D$4,0))</f>
        <v>300</v>
      </c>
      <c r="F16" s="23" t="s">
        <v>168</v>
      </c>
    </row>
    <row r="17" customFormat="false" ht="15" hidden="false" customHeight="false" outlineLevel="0" collapsed="false">
      <c r="A17" s="13" t="s">
        <v>169</v>
      </c>
      <c r="B17" s="31" t="n">
        <v>300</v>
      </c>
      <c r="C17" s="31" t="n">
        <v>800</v>
      </c>
      <c r="D17" s="31" t="n">
        <v>1500</v>
      </c>
      <c r="E17" s="44" t="n">
        <f aca="false">INDEX(B17:D17,MATCH(Hypothèses!$B$7,$B$4:$D$4,0))</f>
        <v>800</v>
      </c>
      <c r="F17" s="23" t="s">
        <v>170</v>
      </c>
    </row>
    <row r="18" customFormat="false" ht="15" hidden="false" customHeight="false" outlineLevel="0" collapsed="false">
      <c r="A18" s="13" t="s">
        <v>171</v>
      </c>
      <c r="B18" s="27" t="n">
        <v>0.01</v>
      </c>
      <c r="C18" s="27" t="n">
        <v>0.02</v>
      </c>
      <c r="D18" s="27" t="n">
        <v>0.04</v>
      </c>
      <c r="E18" s="43" t="n">
        <f aca="false">INDEX(B18:D18,MATCH(Hypothèses!$B$7,$B$4:$D$4,0))</f>
        <v>0.02</v>
      </c>
      <c r="F18" s="23"/>
    </row>
    <row r="19" customFormat="false" ht="15" hidden="false" customHeight="false" outlineLevel="0" collapsed="false">
      <c r="A19" s="13" t="s">
        <v>172</v>
      </c>
      <c r="B19" s="27" t="n">
        <v>0.08</v>
      </c>
      <c r="C19" s="27" t="n">
        <v>0.15</v>
      </c>
      <c r="D19" s="27" t="n">
        <v>0.25</v>
      </c>
      <c r="E19" s="43" t="n">
        <f aca="false">INDEX(B19:D19,MATCH(Hypothèses!$B$7,$B$4:$D$4,0))</f>
        <v>0.15</v>
      </c>
      <c r="F19" s="23"/>
    </row>
    <row r="20" customFormat="false" ht="15" hidden="false" customHeight="false" outlineLevel="0" collapsed="false">
      <c r="A20" s="13" t="s">
        <v>173</v>
      </c>
      <c r="B20" s="27" t="n">
        <v>0.4</v>
      </c>
      <c r="C20" s="27" t="n">
        <v>0.6</v>
      </c>
      <c r="D20" s="27" t="n">
        <v>0.75</v>
      </c>
      <c r="E20" s="43" t="n">
        <f aca="false">INDEX(B20:D20,MATCH(Hypothèses!$B$7,$B$4:$D$4,0))</f>
        <v>0.6</v>
      </c>
      <c r="F20" s="23"/>
    </row>
    <row r="21" customFormat="false" ht="15" hidden="false" customHeight="false" outlineLevel="0" collapsed="false">
      <c r="A21" s="13" t="s">
        <v>174</v>
      </c>
      <c r="B21" s="24" t="n">
        <v>4</v>
      </c>
      <c r="C21" s="24" t="n">
        <v>8</v>
      </c>
      <c r="D21" s="24" t="n">
        <v>15</v>
      </c>
      <c r="E21" s="42" t="n">
        <f aca="false">INDEX(B21:D21,MATCH(Hypothèses!$B$7,$B$4:$D$4,0))</f>
        <v>8</v>
      </c>
      <c r="F21" s="23"/>
    </row>
    <row r="22" customFormat="false" ht="15" hidden="false" customHeight="false" outlineLevel="0" collapsed="false">
      <c r="A22" s="13" t="s">
        <v>175</v>
      </c>
      <c r="B22" s="31" t="n">
        <v>150</v>
      </c>
      <c r="C22" s="31" t="n">
        <v>300</v>
      </c>
      <c r="D22" s="31" t="n">
        <v>500</v>
      </c>
      <c r="E22" s="44" t="n">
        <f aca="false">INDEX(B22:D22,MATCH(Hypothèses!$B$7,$B$4:$D$4,0))</f>
        <v>300</v>
      </c>
      <c r="F22" s="23"/>
    </row>
    <row r="23" customFormat="false" ht="15" hidden="false" customHeight="false" outlineLevel="0" collapsed="false">
      <c r="A23" s="13" t="s">
        <v>176</v>
      </c>
      <c r="B23" s="27" t="n">
        <v>0.25</v>
      </c>
      <c r="C23" s="27" t="n">
        <v>0.4</v>
      </c>
      <c r="D23" s="27" t="n">
        <v>0.6</v>
      </c>
      <c r="E23" s="43" t="n">
        <f aca="false">INDEX(B23:D23,MATCH(Hypothèses!$B$7,$B$4:$D$4,0))</f>
        <v>0.4</v>
      </c>
      <c r="F23" s="23" t="s">
        <v>177</v>
      </c>
    </row>
    <row r="24" customFormat="false" ht="15" hidden="false" customHeight="false" outlineLevel="0" collapsed="false">
      <c r="A24" s="13" t="s">
        <v>178</v>
      </c>
      <c r="B24" s="45" t="n">
        <v>0.5</v>
      </c>
      <c r="C24" s="45" t="n">
        <v>1</v>
      </c>
      <c r="D24" s="45" t="n">
        <v>1.5</v>
      </c>
      <c r="E24" s="46" t="n">
        <f aca="false">INDEX(B24:D24,MATCH(Hypothèses!$B$7,$B$4:$D$4,0))</f>
        <v>1</v>
      </c>
      <c r="F24" s="23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2F5"/>
    <pageSetUpPr fitToPage="true"/>
  </sheetPr>
  <dimension ref="A1:AL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38" min="3" style="0" width="12"/>
  </cols>
  <sheetData>
    <row r="1" customFormat="false" ht="24" hidden="false" customHeight="true" outlineLevel="0" collapsed="false">
      <c r="A1" s="17" t="s">
        <v>180</v>
      </c>
    </row>
    <row r="2" customFormat="false" ht="15" hidden="false" customHeight="false" outlineLevel="0" collapsed="false">
      <c r="A2" s="18" t="s">
        <v>181</v>
      </c>
    </row>
    <row r="4" customFormat="false" ht="15" hidden="false" customHeight="false" outlineLevel="0" collapsed="false">
      <c r="A4" s="38" t="s">
        <v>182</v>
      </c>
      <c r="C4" s="47" t="n">
        <v>1</v>
      </c>
      <c r="D4" s="47" t="n">
        <v>2</v>
      </c>
      <c r="E4" s="47" t="n">
        <v>3</v>
      </c>
      <c r="F4" s="47" t="n">
        <v>4</v>
      </c>
      <c r="G4" s="47" t="n">
        <v>5</v>
      </c>
      <c r="H4" s="47" t="n">
        <v>6</v>
      </c>
      <c r="I4" s="47" t="n">
        <v>7</v>
      </c>
      <c r="J4" s="47" t="n">
        <v>8</v>
      </c>
      <c r="K4" s="47" t="n">
        <v>9</v>
      </c>
      <c r="L4" s="47" t="n">
        <v>10</v>
      </c>
      <c r="M4" s="47" t="n">
        <v>11</v>
      </c>
      <c r="N4" s="47" t="n">
        <v>12</v>
      </c>
      <c r="O4" s="47" t="n">
        <v>13</v>
      </c>
      <c r="P4" s="47" t="n">
        <v>14</v>
      </c>
      <c r="Q4" s="47" t="n">
        <v>15</v>
      </c>
      <c r="R4" s="47" t="n">
        <v>16</v>
      </c>
      <c r="S4" s="47" t="n">
        <v>17</v>
      </c>
      <c r="T4" s="47" t="n">
        <v>18</v>
      </c>
      <c r="U4" s="47" t="n">
        <v>19</v>
      </c>
      <c r="V4" s="47" t="n">
        <v>20</v>
      </c>
      <c r="W4" s="47" t="n">
        <v>21</v>
      </c>
      <c r="X4" s="47" t="n">
        <v>22</v>
      </c>
      <c r="Y4" s="47" t="n">
        <v>23</v>
      </c>
      <c r="Z4" s="47" t="n">
        <v>24</v>
      </c>
      <c r="AA4" s="47" t="n">
        <v>25</v>
      </c>
      <c r="AB4" s="47" t="n">
        <v>26</v>
      </c>
      <c r="AC4" s="47" t="n">
        <v>27</v>
      </c>
      <c r="AD4" s="47" t="n">
        <v>28</v>
      </c>
      <c r="AE4" s="47" t="n">
        <v>29</v>
      </c>
      <c r="AF4" s="47" t="n">
        <v>30</v>
      </c>
      <c r="AG4" s="47" t="n">
        <v>31</v>
      </c>
      <c r="AH4" s="47" t="n">
        <v>32</v>
      </c>
      <c r="AI4" s="47" t="n">
        <v>33</v>
      </c>
      <c r="AJ4" s="47" t="n">
        <v>34</v>
      </c>
      <c r="AK4" s="47" t="n">
        <v>35</v>
      </c>
      <c r="AL4" s="47" t="n">
        <v>36</v>
      </c>
    </row>
    <row r="5" customFormat="false" ht="15" hidden="false" customHeight="false" outlineLevel="0" collapsed="false">
      <c r="A5" s="38" t="s">
        <v>183</v>
      </c>
      <c r="C5" s="48" t="n">
        <f aca="false">INT((C4-1)/12)+1</f>
        <v>1</v>
      </c>
      <c r="D5" s="48" t="n">
        <f aca="false">INT((D4-1)/12)+1</f>
        <v>1</v>
      </c>
      <c r="E5" s="48" t="n">
        <f aca="false">INT((E4-1)/12)+1</f>
        <v>1</v>
      </c>
      <c r="F5" s="48" t="n">
        <f aca="false">INT((F4-1)/12)+1</f>
        <v>1</v>
      </c>
      <c r="G5" s="48" t="n">
        <f aca="false">INT((G4-1)/12)+1</f>
        <v>1</v>
      </c>
      <c r="H5" s="48" t="n">
        <f aca="false">INT((H4-1)/12)+1</f>
        <v>1</v>
      </c>
      <c r="I5" s="48" t="n">
        <f aca="false">INT((I4-1)/12)+1</f>
        <v>1</v>
      </c>
      <c r="J5" s="48" t="n">
        <f aca="false">INT((J4-1)/12)+1</f>
        <v>1</v>
      </c>
      <c r="K5" s="48" t="n">
        <f aca="false">INT((K4-1)/12)+1</f>
        <v>1</v>
      </c>
      <c r="L5" s="48" t="n">
        <f aca="false">INT((L4-1)/12)+1</f>
        <v>1</v>
      </c>
      <c r="M5" s="48" t="n">
        <f aca="false">INT((M4-1)/12)+1</f>
        <v>1</v>
      </c>
      <c r="N5" s="48" t="n">
        <f aca="false">INT((N4-1)/12)+1</f>
        <v>1</v>
      </c>
      <c r="O5" s="48" t="n">
        <f aca="false">INT((O4-1)/12)+1</f>
        <v>2</v>
      </c>
      <c r="P5" s="48" t="n">
        <f aca="false">INT((P4-1)/12)+1</f>
        <v>2</v>
      </c>
      <c r="Q5" s="48" t="n">
        <f aca="false">INT((Q4-1)/12)+1</f>
        <v>2</v>
      </c>
      <c r="R5" s="48" t="n">
        <f aca="false">INT((R4-1)/12)+1</f>
        <v>2</v>
      </c>
      <c r="S5" s="48" t="n">
        <f aca="false">INT((S4-1)/12)+1</f>
        <v>2</v>
      </c>
      <c r="T5" s="48" t="n">
        <f aca="false">INT((T4-1)/12)+1</f>
        <v>2</v>
      </c>
      <c r="U5" s="48" t="n">
        <f aca="false">INT((U4-1)/12)+1</f>
        <v>2</v>
      </c>
      <c r="V5" s="48" t="n">
        <f aca="false">INT((V4-1)/12)+1</f>
        <v>2</v>
      </c>
      <c r="W5" s="48" t="n">
        <f aca="false">INT((W4-1)/12)+1</f>
        <v>2</v>
      </c>
      <c r="X5" s="48" t="n">
        <f aca="false">INT((X4-1)/12)+1</f>
        <v>2</v>
      </c>
      <c r="Y5" s="48" t="n">
        <f aca="false">INT((Y4-1)/12)+1</f>
        <v>2</v>
      </c>
      <c r="Z5" s="48" t="n">
        <f aca="false">INT((Z4-1)/12)+1</f>
        <v>2</v>
      </c>
      <c r="AA5" s="48" t="n">
        <f aca="false">INT((AA4-1)/12)+1</f>
        <v>3</v>
      </c>
      <c r="AB5" s="48" t="n">
        <f aca="false">INT((AB4-1)/12)+1</f>
        <v>3</v>
      </c>
      <c r="AC5" s="48" t="n">
        <f aca="false">INT((AC4-1)/12)+1</f>
        <v>3</v>
      </c>
      <c r="AD5" s="48" t="n">
        <f aca="false">INT((AD4-1)/12)+1</f>
        <v>3</v>
      </c>
      <c r="AE5" s="48" t="n">
        <f aca="false">INT((AE4-1)/12)+1</f>
        <v>3</v>
      </c>
      <c r="AF5" s="48" t="n">
        <f aca="false">INT((AF4-1)/12)+1</f>
        <v>3</v>
      </c>
      <c r="AG5" s="48" t="n">
        <f aca="false">INT((AG4-1)/12)+1</f>
        <v>3</v>
      </c>
      <c r="AH5" s="48" t="n">
        <f aca="false">INT((AH4-1)/12)+1</f>
        <v>3</v>
      </c>
      <c r="AI5" s="48" t="n">
        <f aca="false">INT((AI4-1)/12)+1</f>
        <v>3</v>
      </c>
      <c r="AJ5" s="48" t="n">
        <f aca="false">INT((AJ4-1)/12)+1</f>
        <v>3</v>
      </c>
      <c r="AK5" s="48" t="n">
        <f aca="false">INT((AK4-1)/12)+1</f>
        <v>3</v>
      </c>
      <c r="AL5" s="48" t="n">
        <f aca="false">INT((AL4-1)/12)+1</f>
        <v>3</v>
      </c>
    </row>
    <row r="7" customFormat="false" ht="15" hidden="false" customHeight="false" outlineLevel="0" collapsed="false">
      <c r="A7" s="19" t="s">
        <v>184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customFormat="false" ht="15" hidden="false" customHeight="false" outlineLevel="0" collapsed="false">
      <c r="A8" s="13" t="s">
        <v>185</v>
      </c>
      <c r="B8" s="49" t="s">
        <v>186</v>
      </c>
      <c r="C8" s="50" t="n">
        <f aca="false">1</f>
        <v>1</v>
      </c>
      <c r="D8" s="50" t="n">
        <f aca="false">C8*(1+IF(D$5=1,Scénarios!$E$11,Scénarios!$E$12))</f>
        <v>1.08</v>
      </c>
      <c r="E8" s="50" t="n">
        <f aca="false">D8*(1+IF(E$5=1,Scénarios!$E$11,Scénarios!$E$12))</f>
        <v>1.1664</v>
      </c>
      <c r="F8" s="50" t="n">
        <f aca="false">E8*(1+IF(F$5=1,Scénarios!$E$11,Scénarios!$E$12))</f>
        <v>1.259712</v>
      </c>
      <c r="G8" s="50" t="n">
        <f aca="false">F8*(1+IF(G$5=1,Scénarios!$E$11,Scénarios!$E$12))</f>
        <v>1.36048896</v>
      </c>
      <c r="H8" s="50" t="n">
        <f aca="false">G8*(1+IF(H$5=1,Scénarios!$E$11,Scénarios!$E$12))</f>
        <v>1.4693280768</v>
      </c>
      <c r="I8" s="50" t="n">
        <f aca="false">H8*(1+IF(I$5=1,Scénarios!$E$11,Scénarios!$E$12))</f>
        <v>1.586874322944</v>
      </c>
      <c r="J8" s="50" t="n">
        <f aca="false">I8*(1+IF(J$5=1,Scénarios!$E$11,Scénarios!$E$12))</f>
        <v>1.71382426877952</v>
      </c>
      <c r="K8" s="50" t="n">
        <f aca="false">J8*(1+IF(K$5=1,Scénarios!$E$11,Scénarios!$E$12))</f>
        <v>1.85093021028188</v>
      </c>
      <c r="L8" s="50" t="n">
        <f aca="false">K8*(1+IF(L$5=1,Scénarios!$E$11,Scénarios!$E$12))</f>
        <v>1.99900462710443</v>
      </c>
      <c r="M8" s="50" t="n">
        <f aca="false">L8*(1+IF(M$5=1,Scénarios!$E$11,Scénarios!$E$12))</f>
        <v>2.15892499727279</v>
      </c>
      <c r="N8" s="50" t="n">
        <f aca="false">M8*(1+IF(N$5=1,Scénarios!$E$11,Scénarios!$E$12))</f>
        <v>2.33163899705461</v>
      </c>
      <c r="O8" s="50" t="n">
        <f aca="false">N8*(1+IF(O$5=1,Scénarios!$E$11,Scénarios!$E$12))</f>
        <v>2.4249045569368</v>
      </c>
      <c r="P8" s="50" t="n">
        <f aca="false">O8*(1+IF(P$5=1,Scénarios!$E$11,Scénarios!$E$12))</f>
        <v>2.52190073921427</v>
      </c>
      <c r="Q8" s="50" t="n">
        <f aca="false">P8*(1+IF(Q$5=1,Scénarios!$E$11,Scénarios!$E$12))</f>
        <v>2.62277676878284</v>
      </c>
      <c r="R8" s="50" t="n">
        <f aca="false">Q8*(1+IF(R$5=1,Scénarios!$E$11,Scénarios!$E$12))</f>
        <v>2.72768783953415</v>
      </c>
      <c r="S8" s="50" t="n">
        <f aca="false">R8*(1+IF(S$5=1,Scénarios!$E$11,Scénarios!$E$12))</f>
        <v>2.83679535311552</v>
      </c>
      <c r="T8" s="50" t="n">
        <f aca="false">S8*(1+IF(T$5=1,Scénarios!$E$11,Scénarios!$E$12))</f>
        <v>2.95026716724014</v>
      </c>
      <c r="U8" s="50" t="n">
        <f aca="false">T8*(1+IF(U$5=1,Scénarios!$E$11,Scénarios!$E$12))</f>
        <v>3.06827785392974</v>
      </c>
      <c r="V8" s="50" t="n">
        <f aca="false">U8*(1+IF(V$5=1,Scénarios!$E$11,Scénarios!$E$12))</f>
        <v>3.19100896808693</v>
      </c>
      <c r="W8" s="50" t="n">
        <f aca="false">V8*(1+IF(W$5=1,Scénarios!$E$11,Scénarios!$E$12))</f>
        <v>3.31864932681041</v>
      </c>
      <c r="X8" s="50" t="n">
        <f aca="false">W8*(1+IF(X$5=1,Scénarios!$E$11,Scénarios!$E$12))</f>
        <v>3.45139529988283</v>
      </c>
      <c r="Y8" s="50" t="n">
        <f aca="false">X8*(1+IF(Y$5=1,Scénarios!$E$11,Scénarios!$E$12))</f>
        <v>3.58945111187814</v>
      </c>
      <c r="Z8" s="50" t="n">
        <f aca="false">Y8*(1+IF(Z$5=1,Scénarios!$E$11,Scénarios!$E$12))</f>
        <v>3.73302915635327</v>
      </c>
      <c r="AA8" s="50" t="n">
        <f aca="false">Z8*(1+IF(AA$5=1,Scénarios!$E$11,Scénarios!$E$12))</f>
        <v>3.8823503226074</v>
      </c>
      <c r="AB8" s="50" t="n">
        <f aca="false">AA8*(1+IF(AB$5=1,Scénarios!$E$11,Scénarios!$E$12))</f>
        <v>4.0376443355117</v>
      </c>
      <c r="AC8" s="50" t="n">
        <f aca="false">AB8*(1+IF(AC$5=1,Scénarios!$E$11,Scénarios!$E$12))</f>
        <v>4.19915010893216</v>
      </c>
      <c r="AD8" s="50" t="n">
        <f aca="false">AC8*(1+IF(AD$5=1,Scénarios!$E$11,Scénarios!$E$12))</f>
        <v>4.36711611328945</v>
      </c>
      <c r="AE8" s="50" t="n">
        <f aca="false">AD8*(1+IF(AE$5=1,Scénarios!$E$11,Scénarios!$E$12))</f>
        <v>4.54180075782103</v>
      </c>
      <c r="AF8" s="50" t="n">
        <f aca="false">AE8*(1+IF(AF$5=1,Scénarios!$E$11,Scénarios!$E$12))</f>
        <v>4.72347278813387</v>
      </c>
      <c r="AG8" s="50" t="n">
        <f aca="false">AF8*(1+IF(AG$5=1,Scénarios!$E$11,Scénarios!$E$12))</f>
        <v>4.91241169965922</v>
      </c>
      <c r="AH8" s="50" t="n">
        <f aca="false">AG8*(1+IF(AH$5=1,Scénarios!$E$11,Scénarios!$E$12))</f>
        <v>5.10890816764559</v>
      </c>
      <c r="AI8" s="50" t="n">
        <f aca="false">AH8*(1+IF(AI$5=1,Scénarios!$E$11,Scénarios!$E$12))</f>
        <v>5.31326449435142</v>
      </c>
      <c r="AJ8" s="50" t="n">
        <f aca="false">AI8*(1+IF(AJ$5=1,Scénarios!$E$11,Scénarios!$E$12))</f>
        <v>5.52579507412548</v>
      </c>
      <c r="AK8" s="50" t="n">
        <f aca="false">AJ8*(1+IF(AK$5=1,Scénarios!$E$11,Scénarios!$E$12))</f>
        <v>5.74682687709049</v>
      </c>
      <c r="AL8" s="50" t="n">
        <f aca="false">AK8*(1+IF(AL$5=1,Scénarios!$E$11,Scénarios!$E$12))</f>
        <v>5.97669995217411</v>
      </c>
    </row>
    <row r="9" customFormat="false" ht="15" hidden="false" customHeight="false" outlineLevel="0" collapsed="false">
      <c r="A9" s="13" t="s">
        <v>187</v>
      </c>
      <c r="B9" s="49" t="s">
        <v>188</v>
      </c>
      <c r="C9" s="51" t="n">
        <f aca="false">Scénarios!$E$8*C8</f>
        <v>3</v>
      </c>
      <c r="D9" s="51" t="n">
        <f aca="false">Scénarios!$E$8*D8</f>
        <v>3.24</v>
      </c>
      <c r="E9" s="51" t="n">
        <f aca="false">Scénarios!$E$8*E8</f>
        <v>3.4992</v>
      </c>
      <c r="F9" s="51" t="n">
        <f aca="false">Scénarios!$E$8*F8</f>
        <v>3.779136</v>
      </c>
      <c r="G9" s="51" t="n">
        <f aca="false">Scénarios!$E$8*G8</f>
        <v>4.08146688</v>
      </c>
      <c r="H9" s="51" t="n">
        <f aca="false">Scénarios!$E$8*H8</f>
        <v>4.4079842304</v>
      </c>
      <c r="I9" s="51" t="n">
        <f aca="false">Scénarios!$E$8*I8</f>
        <v>4.760622968832</v>
      </c>
      <c r="J9" s="51" t="n">
        <f aca="false">Scénarios!$E$8*J8</f>
        <v>5.14147280633856</v>
      </c>
      <c r="K9" s="51" t="n">
        <f aca="false">Scénarios!$E$8*K8</f>
        <v>5.55279063084565</v>
      </c>
      <c r="L9" s="51" t="n">
        <f aca="false">Scénarios!$E$8*L8</f>
        <v>5.9970138813133</v>
      </c>
      <c r="M9" s="51" t="n">
        <f aca="false">Scénarios!$E$8*M8</f>
        <v>6.47677499181837</v>
      </c>
      <c r="N9" s="51" t="n">
        <f aca="false">Scénarios!$E$8*N8</f>
        <v>6.99491699116383</v>
      </c>
      <c r="O9" s="51" t="n">
        <f aca="false">Scénarios!$E$8*O8</f>
        <v>7.27471367081039</v>
      </c>
      <c r="P9" s="51" t="n">
        <f aca="false">Scénarios!$E$8*P8</f>
        <v>7.5657022176428</v>
      </c>
      <c r="Q9" s="51" t="n">
        <f aca="false">Scénarios!$E$8*Q8</f>
        <v>7.86833030634852</v>
      </c>
      <c r="R9" s="51" t="n">
        <f aca="false">Scénarios!$E$8*R8</f>
        <v>8.18306351860246</v>
      </c>
      <c r="S9" s="51" t="n">
        <f aca="false">Scénarios!$E$8*S8</f>
        <v>8.51038605934656</v>
      </c>
      <c r="T9" s="51" t="n">
        <f aca="false">Scénarios!$E$8*T8</f>
        <v>8.85080150172042</v>
      </c>
      <c r="U9" s="51" t="n">
        <f aca="false">Scénarios!$E$8*U8</f>
        <v>9.20483356178923</v>
      </c>
      <c r="V9" s="51" t="n">
        <f aca="false">Scénarios!$E$8*V8</f>
        <v>9.5730269042608</v>
      </c>
      <c r="W9" s="51" t="n">
        <f aca="false">Scénarios!$E$8*W8</f>
        <v>9.95594798043124</v>
      </c>
      <c r="X9" s="51" t="n">
        <f aca="false">Scénarios!$E$8*X8</f>
        <v>10.3541858996485</v>
      </c>
      <c r="Y9" s="51" t="n">
        <f aca="false">Scénarios!$E$8*Y8</f>
        <v>10.7683533356344</v>
      </c>
      <c r="Z9" s="51" t="n">
        <f aca="false">Scénarios!$E$8*Z8</f>
        <v>11.1990874690598</v>
      </c>
      <c r="AA9" s="51" t="n">
        <f aca="false">Scénarios!$E$8*AA8</f>
        <v>11.6470509678222</v>
      </c>
      <c r="AB9" s="51" t="n">
        <f aca="false">Scénarios!$E$8*AB8</f>
        <v>12.1129330065351</v>
      </c>
      <c r="AC9" s="51" t="n">
        <f aca="false">Scénarios!$E$8*AC8</f>
        <v>12.5974503267965</v>
      </c>
      <c r="AD9" s="51" t="n">
        <f aca="false">Scénarios!$E$8*AD8</f>
        <v>13.1013483398684</v>
      </c>
      <c r="AE9" s="51" t="n">
        <f aca="false">Scénarios!$E$8*AE8</f>
        <v>13.6254022734631</v>
      </c>
      <c r="AF9" s="51" t="n">
        <f aca="false">Scénarios!$E$8*AF8</f>
        <v>14.1704183644016</v>
      </c>
      <c r="AG9" s="51" t="n">
        <f aca="false">Scénarios!$E$8*AG8</f>
        <v>14.7372350989777</v>
      </c>
      <c r="AH9" s="51" t="n">
        <f aca="false">Scénarios!$E$8*AH8</f>
        <v>15.3267245029368</v>
      </c>
      <c r="AI9" s="51" t="n">
        <f aca="false">Scénarios!$E$8*AI8</f>
        <v>15.9397934830543</v>
      </c>
      <c r="AJ9" s="51" t="n">
        <f aca="false">Scénarios!$E$8*AJ8</f>
        <v>16.5773852223764</v>
      </c>
      <c r="AK9" s="51" t="n">
        <f aca="false">Scénarios!$E$8*AK8</f>
        <v>17.2404806312715</v>
      </c>
      <c r="AL9" s="51" t="n">
        <f aca="false">Scénarios!$E$8*AL8</f>
        <v>17.9300998565223</v>
      </c>
    </row>
    <row r="10" customFormat="false" ht="15" hidden="false" customHeight="false" outlineLevel="0" collapsed="false">
      <c r="A10" s="38" t="s">
        <v>189</v>
      </c>
      <c r="B10" s="49" t="s">
        <v>188</v>
      </c>
      <c r="C10" s="52" t="n">
        <f aca="false">Scénarios!$E$5*(1-Scénarios!$E$13)+C9</f>
        <v>7.85</v>
      </c>
      <c r="D10" s="52" t="n">
        <f aca="false">C10*(1-Scénarios!$E$13)+D9</f>
        <v>10.8545</v>
      </c>
      <c r="E10" s="52" t="n">
        <f aca="false">D10*(1-Scénarios!$E$13)+E9</f>
        <v>14.028065</v>
      </c>
      <c r="F10" s="52" t="n">
        <f aca="false">E10*(1-Scénarios!$E$13)+F9</f>
        <v>17.38635905</v>
      </c>
      <c r="G10" s="52" t="n">
        <f aca="false">F10*(1-Scénarios!$E$13)+G9</f>
        <v>20.9462351585</v>
      </c>
      <c r="H10" s="52" t="n">
        <f aca="false">G10*(1-Scénarios!$E$13)+H9</f>
        <v>24.725832334145</v>
      </c>
      <c r="I10" s="52" t="n">
        <f aca="false">H10*(1-Scénarios!$E$13)+I9</f>
        <v>28.7446803329527</v>
      </c>
      <c r="J10" s="52" t="n">
        <f aca="false">I10*(1-Scénarios!$E$13)+J9</f>
        <v>33.0238127293026</v>
      </c>
      <c r="K10" s="52" t="n">
        <f aca="false">J10*(1-Scénarios!$E$13)+K9</f>
        <v>37.5858889782692</v>
      </c>
      <c r="L10" s="52" t="n">
        <f aca="false">K10*(1-Scénarios!$E$13)+L9</f>
        <v>42.4553261902344</v>
      </c>
      <c r="M10" s="52" t="n">
        <f aca="false">L10*(1-Scénarios!$E$13)+M9</f>
        <v>47.6584413963458</v>
      </c>
      <c r="N10" s="52" t="n">
        <f aca="false">M10*(1-Scénarios!$E$13)+N9</f>
        <v>53.2236051456192</v>
      </c>
      <c r="O10" s="52" t="n">
        <f aca="false">N10*(1-Scénarios!$E$13)+O9</f>
        <v>58.901610662061</v>
      </c>
      <c r="P10" s="52" t="n">
        <f aca="false">O10*(1-Scénarios!$E$13)+P9</f>
        <v>64.700264559842</v>
      </c>
      <c r="Q10" s="52" t="n">
        <f aca="false">P10*(1-Scénarios!$E$13)+Q9</f>
        <v>70.6275869293953</v>
      </c>
      <c r="R10" s="52" t="n">
        <f aca="false">Q10*(1-Scénarios!$E$13)+R9</f>
        <v>76.6918228401159</v>
      </c>
      <c r="S10" s="52" t="n">
        <f aca="false">R10*(1-Scénarios!$E$13)+S9</f>
        <v>82.9014542142589</v>
      </c>
      <c r="T10" s="52" t="n">
        <f aca="false">S10*(1-Scénarios!$E$13)+T9</f>
        <v>89.2652120895516</v>
      </c>
      <c r="U10" s="52" t="n">
        <f aca="false">T10*(1-Scénarios!$E$13)+U9</f>
        <v>95.7920892886543</v>
      </c>
      <c r="V10" s="52" t="n">
        <f aca="false">U10*(1-Scénarios!$E$13)+V9</f>
        <v>102.491353514255</v>
      </c>
      <c r="W10" s="52" t="n">
        <f aca="false">V10*(1-Scénarios!$E$13)+W9</f>
        <v>109.372560889259</v>
      </c>
      <c r="X10" s="52" t="n">
        <f aca="false">W10*(1-Scénarios!$E$13)+X9</f>
        <v>116.44556996223</v>
      </c>
      <c r="Y10" s="52" t="n">
        <f aca="false">X10*(1-Scénarios!$E$13)+Y9</f>
        <v>123.720556198997</v>
      </c>
      <c r="Z10" s="52" t="n">
        <f aca="false">Y10*(1-Scénarios!$E$13)+Z9</f>
        <v>131.208026982087</v>
      </c>
      <c r="AA10" s="52" t="n">
        <f aca="false">Z10*(1-Scénarios!$E$13)+AA9</f>
        <v>138.918837140447</v>
      </c>
      <c r="AB10" s="52" t="n">
        <f aca="false">AA10*(1-Scénarios!$E$13)+AB9</f>
        <v>146.864205032768</v>
      </c>
      <c r="AC10" s="52" t="n">
        <f aca="false">AB10*(1-Scénarios!$E$13)+AC9</f>
        <v>155.055729208582</v>
      </c>
      <c r="AD10" s="52" t="n">
        <f aca="false">AC10*(1-Scénarios!$E$13)+AD9</f>
        <v>163.505405672193</v>
      </c>
      <c r="AE10" s="52" t="n">
        <f aca="false">AD10*(1-Scénarios!$E$13)+AE9</f>
        <v>172.22564577549</v>
      </c>
      <c r="AF10" s="52" t="n">
        <f aca="false">AE10*(1-Scénarios!$E$13)+AF9</f>
        <v>181.229294766627</v>
      </c>
      <c r="AG10" s="52" t="n">
        <f aca="false">AF10*(1-Scénarios!$E$13)+AG9</f>
        <v>190.529651022606</v>
      </c>
      <c r="AH10" s="52" t="n">
        <f aca="false">AG10*(1-Scénarios!$E$13)+AH9</f>
        <v>200.140485994864</v>
      </c>
      <c r="AI10" s="52" t="n">
        <f aca="false">AH10*(1-Scénarios!$E$13)+AI9</f>
        <v>210.076064898073</v>
      </c>
      <c r="AJ10" s="52" t="n">
        <f aca="false">AI10*(1-Scénarios!$E$13)+AJ9</f>
        <v>220.351168173507</v>
      </c>
      <c r="AK10" s="52" t="n">
        <f aca="false">AJ10*(1-Scénarios!$E$13)+AK9</f>
        <v>230.981113759573</v>
      </c>
      <c r="AL10" s="52" t="n">
        <f aca="false">AK10*(1-Scénarios!$E$13)+AL9</f>
        <v>241.981780203308</v>
      </c>
    </row>
    <row r="11" customFormat="false" ht="15" hidden="false" customHeight="false" outlineLevel="0" collapsed="false">
      <c r="A11" s="13" t="s">
        <v>190</v>
      </c>
      <c r="B11" s="49" t="s">
        <v>188</v>
      </c>
      <c r="C11" s="51" t="n">
        <f aca="false">C10*Scénarios!$E$15</f>
        <v>4.71</v>
      </c>
      <c r="D11" s="51" t="n">
        <f aca="false">D10*Scénarios!$E$15</f>
        <v>6.5127</v>
      </c>
      <c r="E11" s="51" t="n">
        <f aca="false">E10*Scénarios!$E$15</f>
        <v>8.416839</v>
      </c>
      <c r="F11" s="51" t="n">
        <f aca="false">F10*Scénarios!$E$15</f>
        <v>10.43181543</v>
      </c>
      <c r="G11" s="51" t="n">
        <f aca="false">G10*Scénarios!$E$15</f>
        <v>12.5677410951</v>
      </c>
      <c r="H11" s="51" t="n">
        <f aca="false">H10*Scénarios!$E$15</f>
        <v>14.835499400487</v>
      </c>
      <c r="I11" s="51" t="n">
        <f aca="false">I10*Scénarios!$E$15</f>
        <v>17.2468081997716</v>
      </c>
      <c r="J11" s="51" t="n">
        <f aca="false">J10*Scénarios!$E$15</f>
        <v>19.8142876375816</v>
      </c>
      <c r="K11" s="51" t="n">
        <f aca="false">K10*Scénarios!$E$15</f>
        <v>22.5515333869615</v>
      </c>
      <c r="L11" s="51" t="n">
        <f aca="false">L10*Scénarios!$E$15</f>
        <v>25.4731957141407</v>
      </c>
      <c r="M11" s="51" t="n">
        <f aca="false">M10*Scénarios!$E$15</f>
        <v>28.5950648378075</v>
      </c>
      <c r="N11" s="51" t="n">
        <f aca="false">N10*Scénarios!$E$15</f>
        <v>31.9341630873715</v>
      </c>
      <c r="O11" s="51" t="n">
        <f aca="false">O10*Scénarios!$E$15</f>
        <v>35.3409663972366</v>
      </c>
      <c r="P11" s="51" t="n">
        <f aca="false">P10*Scénarios!$E$15</f>
        <v>38.8201587359052</v>
      </c>
      <c r="Q11" s="51" t="n">
        <f aca="false">Q10*Scénarios!$E$15</f>
        <v>42.3765521576372</v>
      </c>
      <c r="R11" s="51" t="n">
        <f aca="false">R10*Scénarios!$E$15</f>
        <v>46.0150937040695</v>
      </c>
      <c r="S11" s="51" t="n">
        <f aca="false">S10*Scénarios!$E$15</f>
        <v>49.7408725285554</v>
      </c>
      <c r="T11" s="51" t="n">
        <f aca="false">T10*Scénarios!$E$15</f>
        <v>53.5591272537309</v>
      </c>
      <c r="U11" s="51" t="n">
        <f aca="false">U10*Scénarios!$E$15</f>
        <v>57.4752535731926</v>
      </c>
      <c r="V11" s="51" t="n">
        <f aca="false">V10*Scénarios!$E$15</f>
        <v>61.4948121085533</v>
      </c>
      <c r="W11" s="51" t="n">
        <f aca="false">W10*Scénarios!$E$15</f>
        <v>65.6235365335554</v>
      </c>
      <c r="X11" s="51" t="n">
        <f aca="false">X10*Scénarios!$E$15</f>
        <v>69.8673419773378</v>
      </c>
      <c r="Y11" s="51" t="n">
        <f aca="false">Y10*Scénarios!$E$15</f>
        <v>74.2323337193983</v>
      </c>
      <c r="Z11" s="51" t="n">
        <f aca="false">Z10*Scénarios!$E$15</f>
        <v>78.7248161892523</v>
      </c>
      <c r="AA11" s="51" t="n">
        <f aca="false">AA10*Scénarios!$E$15</f>
        <v>83.351302284268</v>
      </c>
      <c r="AB11" s="51" t="n">
        <f aca="false">AB10*Scénarios!$E$15</f>
        <v>88.118523019661</v>
      </c>
      <c r="AC11" s="51" t="n">
        <f aca="false">AC10*Scénarios!$E$15</f>
        <v>93.0334375251491</v>
      </c>
      <c r="AD11" s="51" t="n">
        <f aca="false">AD10*Scénarios!$E$15</f>
        <v>98.1032434033156</v>
      </c>
      <c r="AE11" s="51" t="n">
        <f aca="false">AE10*Scénarios!$E$15</f>
        <v>103.335387465294</v>
      </c>
      <c r="AF11" s="51" t="n">
        <f aca="false">AF10*Scénarios!$E$15</f>
        <v>108.737576859976</v>
      </c>
      <c r="AG11" s="51" t="n">
        <f aca="false">AG10*Scénarios!$E$15</f>
        <v>114.317790613563</v>
      </c>
      <c r="AH11" s="51" t="n">
        <f aca="false">AH10*Scénarios!$E$15</f>
        <v>120.084291596919</v>
      </c>
      <c r="AI11" s="51" t="n">
        <f aca="false">AI10*Scénarios!$E$15</f>
        <v>126.045638938844</v>
      </c>
      <c r="AJ11" s="51" t="n">
        <f aca="false">AJ10*Scénarios!$E$15</f>
        <v>132.210700904104</v>
      </c>
      <c r="AK11" s="51" t="n">
        <f aca="false">AK10*Scénarios!$E$15</f>
        <v>138.588668255744</v>
      </c>
      <c r="AL11" s="51" t="n">
        <f aca="false">AL10*Scénarios!$E$15</f>
        <v>145.189068121985</v>
      </c>
    </row>
    <row r="12" customFormat="false" ht="15" hidden="false" customHeight="false" outlineLevel="0" collapsed="false">
      <c r="A12" s="13" t="s">
        <v>191</v>
      </c>
      <c r="B12" s="49" t="s">
        <v>188</v>
      </c>
      <c r="C12" s="51" t="n">
        <f aca="false">Scénarios!$E$9*C8</f>
        <v>10</v>
      </c>
      <c r="D12" s="51" t="n">
        <f aca="false">Scénarios!$E$9*D8</f>
        <v>10.8</v>
      </c>
      <c r="E12" s="51" t="n">
        <f aca="false">Scénarios!$E$9*E8</f>
        <v>11.664</v>
      </c>
      <c r="F12" s="51" t="n">
        <f aca="false">Scénarios!$E$9*F8</f>
        <v>12.59712</v>
      </c>
      <c r="G12" s="51" t="n">
        <f aca="false">Scénarios!$E$9*G8</f>
        <v>13.6048896</v>
      </c>
      <c r="H12" s="51" t="n">
        <f aca="false">Scénarios!$E$9*H8</f>
        <v>14.693280768</v>
      </c>
      <c r="I12" s="51" t="n">
        <f aca="false">Scénarios!$E$9*I8</f>
        <v>15.86874322944</v>
      </c>
      <c r="J12" s="51" t="n">
        <f aca="false">Scénarios!$E$9*J8</f>
        <v>17.1382426877952</v>
      </c>
      <c r="K12" s="51" t="n">
        <f aca="false">Scénarios!$E$9*K8</f>
        <v>18.5093021028188</v>
      </c>
      <c r="L12" s="51" t="n">
        <f aca="false">Scénarios!$E$9*L8</f>
        <v>19.9900462710443</v>
      </c>
      <c r="M12" s="51" t="n">
        <f aca="false">Scénarios!$E$9*M8</f>
        <v>21.5892499727279</v>
      </c>
      <c r="N12" s="51" t="n">
        <f aca="false">Scénarios!$E$9*N8</f>
        <v>23.3163899705461</v>
      </c>
      <c r="O12" s="51" t="n">
        <f aca="false">Scénarios!$E$9*O8</f>
        <v>24.249045569368</v>
      </c>
      <c r="P12" s="51" t="n">
        <f aca="false">Scénarios!$E$9*P8</f>
        <v>25.2190073921427</v>
      </c>
      <c r="Q12" s="51" t="n">
        <f aca="false">Scénarios!$E$9*Q8</f>
        <v>26.2277676878284</v>
      </c>
      <c r="R12" s="51" t="n">
        <f aca="false">Scénarios!$E$9*R8</f>
        <v>27.2768783953415</v>
      </c>
      <c r="S12" s="51" t="n">
        <f aca="false">Scénarios!$E$9*S8</f>
        <v>28.3679535311552</v>
      </c>
      <c r="T12" s="51" t="n">
        <f aca="false">Scénarios!$E$9*T8</f>
        <v>29.5026716724014</v>
      </c>
      <c r="U12" s="51" t="n">
        <f aca="false">Scénarios!$E$9*U8</f>
        <v>30.6827785392974</v>
      </c>
      <c r="V12" s="51" t="n">
        <f aca="false">Scénarios!$E$9*V8</f>
        <v>31.9100896808693</v>
      </c>
      <c r="W12" s="51" t="n">
        <f aca="false">Scénarios!$E$9*W8</f>
        <v>33.1864932681041</v>
      </c>
      <c r="X12" s="51" t="n">
        <f aca="false">Scénarios!$E$9*X8</f>
        <v>34.5139529988283</v>
      </c>
      <c r="Y12" s="51" t="n">
        <f aca="false">Scénarios!$E$9*Y8</f>
        <v>35.8945111187814</v>
      </c>
      <c r="Z12" s="51" t="n">
        <f aca="false">Scénarios!$E$9*Z8</f>
        <v>37.3302915635327</v>
      </c>
      <c r="AA12" s="51" t="n">
        <f aca="false">Scénarios!$E$9*AA8</f>
        <v>38.823503226074</v>
      </c>
      <c r="AB12" s="51" t="n">
        <f aca="false">Scénarios!$E$9*AB8</f>
        <v>40.376443355117</v>
      </c>
      <c r="AC12" s="51" t="n">
        <f aca="false">Scénarios!$E$9*AC8</f>
        <v>41.9915010893216</v>
      </c>
      <c r="AD12" s="51" t="n">
        <f aca="false">Scénarios!$E$9*AD8</f>
        <v>43.6711611328945</v>
      </c>
      <c r="AE12" s="51" t="n">
        <f aca="false">Scénarios!$E$9*AE8</f>
        <v>45.4180075782103</v>
      </c>
      <c r="AF12" s="51" t="n">
        <f aca="false">Scénarios!$E$9*AF8</f>
        <v>47.2347278813387</v>
      </c>
      <c r="AG12" s="51" t="n">
        <f aca="false">Scénarios!$E$9*AG8</f>
        <v>49.1241169965922</v>
      </c>
      <c r="AH12" s="51" t="n">
        <f aca="false">Scénarios!$E$9*AH8</f>
        <v>51.0890816764559</v>
      </c>
      <c r="AI12" s="51" t="n">
        <f aca="false">Scénarios!$E$9*AI8</f>
        <v>53.1326449435142</v>
      </c>
      <c r="AJ12" s="51" t="n">
        <f aca="false">Scénarios!$E$9*AJ8</f>
        <v>55.2579507412548</v>
      </c>
      <c r="AK12" s="51" t="n">
        <f aca="false">Scénarios!$E$9*AK8</f>
        <v>57.4682687709049</v>
      </c>
      <c r="AL12" s="51" t="n">
        <f aca="false">Scénarios!$E$9*AL8</f>
        <v>59.7669995217411</v>
      </c>
    </row>
    <row r="13" customFormat="false" ht="15" hidden="false" customHeight="false" outlineLevel="0" collapsed="false">
      <c r="A13" s="38" t="s">
        <v>192</v>
      </c>
      <c r="B13" s="49" t="s">
        <v>188</v>
      </c>
      <c r="C13" s="52" t="n">
        <f aca="false">Scénarios!$E$6*(1-Scénarios!$E$13)+C12</f>
        <v>19.7</v>
      </c>
      <c r="D13" s="52" t="n">
        <f aca="false">C13*(1-Scénarios!$E$13)+D12</f>
        <v>29.909</v>
      </c>
      <c r="E13" s="52" t="n">
        <f aca="false">D13*(1-Scénarios!$E$13)+E12</f>
        <v>40.67573</v>
      </c>
      <c r="F13" s="52" t="n">
        <f aca="false">E13*(1-Scénarios!$E$13)+F12</f>
        <v>52.0525781</v>
      </c>
      <c r="G13" s="52" t="n">
        <f aca="false">F13*(1-Scénarios!$E$13)+G12</f>
        <v>64.095890357</v>
      </c>
      <c r="H13" s="52" t="n">
        <f aca="false">G13*(1-Scénarios!$E$13)+H12</f>
        <v>76.86629441429</v>
      </c>
      <c r="I13" s="52" t="n">
        <f aca="false">H13*(1-Scénarios!$E$13)+I12</f>
        <v>90.4290488113013</v>
      </c>
      <c r="J13" s="52" t="n">
        <f aca="false">I13*(1-Scénarios!$E$13)+J12</f>
        <v>104.854420034757</v>
      </c>
      <c r="K13" s="52" t="n">
        <f aca="false">J13*(1-Scénarios!$E$13)+K12</f>
        <v>120.218089536534</v>
      </c>
      <c r="L13" s="52" t="n">
        <f aca="false">K13*(1-Scénarios!$E$13)+L12</f>
        <v>136.601593121482</v>
      </c>
      <c r="M13" s="52" t="n">
        <f aca="false">L13*(1-Scénarios!$E$13)+M12</f>
        <v>154.092795300565</v>
      </c>
      <c r="N13" s="52" t="n">
        <f aca="false">M13*(1-Scénarios!$E$13)+N12</f>
        <v>172.786401412094</v>
      </c>
      <c r="O13" s="52" t="n">
        <f aca="false">N13*(1-Scénarios!$E$13)+O12</f>
        <v>191.8518549391</v>
      </c>
      <c r="P13" s="52" t="n">
        <f aca="false">O13*(1-Scénarios!$E$13)+P12</f>
        <v>211.315306683069</v>
      </c>
      <c r="Q13" s="52" t="n">
        <f aca="false">P13*(1-Scénarios!$E$13)+Q12</f>
        <v>231.203615170406</v>
      </c>
      <c r="R13" s="52" t="n">
        <f aca="false">Q13*(1-Scénarios!$E$13)+R12</f>
        <v>251.544385110635</v>
      </c>
      <c r="S13" s="52" t="n">
        <f aca="false">R13*(1-Scénarios!$E$13)+S12</f>
        <v>272.366007088471</v>
      </c>
      <c r="T13" s="52" t="n">
        <f aca="false">S13*(1-Scénarios!$E$13)+T12</f>
        <v>293.697698548218</v>
      </c>
      <c r="U13" s="52" t="n">
        <f aca="false">T13*(1-Scénarios!$E$13)+U12</f>
        <v>315.569546131069</v>
      </c>
      <c r="V13" s="52" t="n">
        <f aca="false">U13*(1-Scénarios!$E$13)+V12</f>
        <v>338.012549428007</v>
      </c>
      <c r="W13" s="52" t="n">
        <f aca="false">V13*(1-Scénarios!$E$13)+W12</f>
        <v>361.05866621327</v>
      </c>
      <c r="X13" s="52" t="n">
        <f aca="false">W13*(1-Scénarios!$E$13)+X12</f>
        <v>384.740859225701</v>
      </c>
      <c r="Y13" s="52" t="n">
        <f aca="false">X13*(1-Scénarios!$E$13)+Y12</f>
        <v>409.093144567711</v>
      </c>
      <c r="Z13" s="52" t="n">
        <f aca="false">Y13*(1-Scénarios!$E$13)+Z12</f>
        <v>434.150641794212</v>
      </c>
      <c r="AA13" s="52" t="n">
        <f aca="false">Z13*(1-Scénarios!$E$13)+AA12</f>
        <v>459.94962576646</v>
      </c>
      <c r="AB13" s="52" t="n">
        <f aca="false">AA13*(1-Scénarios!$E$13)+AB12</f>
        <v>486.527580348583</v>
      </c>
      <c r="AC13" s="52" t="n">
        <f aca="false">AB13*(1-Scénarios!$E$13)+AC12</f>
        <v>513.923254027447</v>
      </c>
      <c r="AD13" s="52" t="n">
        <f aca="false">AC13*(1-Scénarios!$E$13)+AD12</f>
        <v>542.176717539518</v>
      </c>
      <c r="AE13" s="52" t="n">
        <f aca="false">AD13*(1-Scénarios!$E$13)+AE12</f>
        <v>571.329423591543</v>
      </c>
      <c r="AF13" s="52" t="n">
        <f aca="false">AE13*(1-Scénarios!$E$13)+AF12</f>
        <v>601.424268765135</v>
      </c>
      <c r="AG13" s="52" t="n">
        <f aca="false">AF13*(1-Scénarios!$E$13)+AG12</f>
        <v>632.505657698774</v>
      </c>
      <c r="AH13" s="52" t="n">
        <f aca="false">AG13*(1-Scénarios!$E$13)+AH12</f>
        <v>664.619569644266</v>
      </c>
      <c r="AI13" s="52" t="n">
        <f aca="false">AH13*(1-Scénarios!$E$13)+AI12</f>
        <v>697.813627498452</v>
      </c>
      <c r="AJ13" s="52" t="n">
        <f aca="false">AI13*(1-Scénarios!$E$13)+AJ12</f>
        <v>732.137169414753</v>
      </c>
      <c r="AK13" s="52" t="n">
        <f aca="false">AJ13*(1-Scénarios!$E$13)+AK12</f>
        <v>767.641323103216</v>
      </c>
      <c r="AL13" s="52" t="n">
        <f aca="false">AK13*(1-Scénarios!$E$13)+AL12</f>
        <v>804.37908293186</v>
      </c>
    </row>
    <row r="14" customFormat="false" ht="15" hidden="false" customHeight="false" outlineLevel="0" collapsed="false">
      <c r="A14" s="13" t="s">
        <v>193</v>
      </c>
      <c r="B14" s="49" t="s">
        <v>188</v>
      </c>
      <c r="C14" s="51" t="n">
        <f aca="false">Scénarios!$E$10*C8</f>
        <v>200</v>
      </c>
      <c r="D14" s="51" t="n">
        <f aca="false">Scénarios!$E$10*D8</f>
        <v>216</v>
      </c>
      <c r="E14" s="51" t="n">
        <f aca="false">Scénarios!$E$10*E8</f>
        <v>233.28</v>
      </c>
      <c r="F14" s="51" t="n">
        <f aca="false">Scénarios!$E$10*F8</f>
        <v>251.9424</v>
      </c>
      <c r="G14" s="51" t="n">
        <f aca="false">Scénarios!$E$10*G8</f>
        <v>272.097792</v>
      </c>
      <c r="H14" s="51" t="n">
        <f aca="false">Scénarios!$E$10*H8</f>
        <v>293.86561536</v>
      </c>
      <c r="I14" s="51" t="n">
        <f aca="false">Scénarios!$E$10*I8</f>
        <v>317.3748645888</v>
      </c>
      <c r="J14" s="51" t="n">
        <f aca="false">Scénarios!$E$10*J8</f>
        <v>342.764853755904</v>
      </c>
      <c r="K14" s="51" t="n">
        <f aca="false">Scénarios!$E$10*K8</f>
        <v>370.186042056377</v>
      </c>
      <c r="L14" s="51" t="n">
        <f aca="false">Scénarios!$E$10*L8</f>
        <v>399.800925420887</v>
      </c>
      <c r="M14" s="51" t="n">
        <f aca="false">Scénarios!$E$10*M8</f>
        <v>431.784999454558</v>
      </c>
      <c r="N14" s="51" t="n">
        <f aca="false">Scénarios!$E$10*N8</f>
        <v>466.327799410922</v>
      </c>
      <c r="O14" s="51" t="n">
        <f aca="false">Scénarios!$E$10*O8</f>
        <v>484.980911387359</v>
      </c>
      <c r="P14" s="51" t="n">
        <f aca="false">Scénarios!$E$10*P8</f>
        <v>504.380147842854</v>
      </c>
      <c r="Q14" s="51" t="n">
        <f aca="false">Scénarios!$E$10*Q8</f>
        <v>524.555353756568</v>
      </c>
      <c r="R14" s="51" t="n">
        <f aca="false">Scénarios!$E$10*R8</f>
        <v>545.53756790683</v>
      </c>
      <c r="S14" s="51" t="n">
        <f aca="false">Scénarios!$E$10*S8</f>
        <v>567.359070623104</v>
      </c>
      <c r="T14" s="51" t="n">
        <f aca="false">Scénarios!$E$10*T8</f>
        <v>590.053433448028</v>
      </c>
      <c r="U14" s="51" t="n">
        <f aca="false">Scénarios!$E$10*U8</f>
        <v>613.655570785949</v>
      </c>
      <c r="V14" s="51" t="n">
        <f aca="false">Scénarios!$E$10*V8</f>
        <v>638.201793617387</v>
      </c>
      <c r="W14" s="51" t="n">
        <f aca="false">Scénarios!$E$10*W8</f>
        <v>663.729865362082</v>
      </c>
      <c r="X14" s="51" t="n">
        <f aca="false">Scénarios!$E$10*X8</f>
        <v>690.279059976566</v>
      </c>
      <c r="Y14" s="51" t="n">
        <f aca="false">Scénarios!$E$10*Y8</f>
        <v>717.890222375628</v>
      </c>
      <c r="Z14" s="51" t="n">
        <f aca="false">Scénarios!$E$10*Z8</f>
        <v>746.605831270654</v>
      </c>
      <c r="AA14" s="51" t="n">
        <f aca="false">Scénarios!$E$10*AA8</f>
        <v>776.47006452148</v>
      </c>
      <c r="AB14" s="51" t="n">
        <f aca="false">Scénarios!$E$10*AB8</f>
        <v>807.528867102339</v>
      </c>
      <c r="AC14" s="51" t="n">
        <f aca="false">Scénarios!$E$10*AC8</f>
        <v>839.830021786433</v>
      </c>
      <c r="AD14" s="51" t="n">
        <f aca="false">Scénarios!$E$10*AD8</f>
        <v>873.42322265789</v>
      </c>
      <c r="AE14" s="51" t="n">
        <f aca="false">Scénarios!$E$10*AE8</f>
        <v>908.360151564206</v>
      </c>
      <c r="AF14" s="51" t="n">
        <f aca="false">Scénarios!$E$10*AF8</f>
        <v>944.694557626774</v>
      </c>
      <c r="AG14" s="51" t="n">
        <f aca="false">Scénarios!$E$10*AG8</f>
        <v>982.482339931845</v>
      </c>
      <c r="AH14" s="51" t="n">
        <f aca="false">Scénarios!$E$10*AH8</f>
        <v>1021.78163352912</v>
      </c>
      <c r="AI14" s="51" t="n">
        <f aca="false">Scénarios!$E$10*AI8</f>
        <v>1062.65289887028</v>
      </c>
      <c r="AJ14" s="51" t="n">
        <f aca="false">Scénarios!$E$10*AJ8</f>
        <v>1105.1590148251</v>
      </c>
      <c r="AK14" s="51" t="n">
        <f aca="false">Scénarios!$E$10*AK8</f>
        <v>1149.3653754181</v>
      </c>
      <c r="AL14" s="51" t="n">
        <f aca="false">Scénarios!$E$10*AL8</f>
        <v>1195.33999043482</v>
      </c>
    </row>
    <row r="15" customFormat="false" ht="15" hidden="false" customHeight="false" outlineLevel="0" collapsed="false">
      <c r="A15" s="38" t="s">
        <v>194</v>
      </c>
      <c r="B15" s="49" t="s">
        <v>188</v>
      </c>
      <c r="C15" s="53" t="n">
        <f aca="false">Scénarios!$E$7*(1-Scénarios!$E$14)+C14</f>
        <v>390</v>
      </c>
      <c r="D15" s="53" t="n">
        <f aca="false">C15*(1-Scénarios!$E$14)+D14</f>
        <v>586.5</v>
      </c>
      <c r="E15" s="53" t="n">
        <f aca="false">D15*(1-Scénarios!$E$14)+E14</f>
        <v>790.455</v>
      </c>
      <c r="F15" s="53" t="n">
        <f aca="false">E15*(1-Scénarios!$E$14)+F14</f>
        <v>1002.87465</v>
      </c>
      <c r="G15" s="53" t="n">
        <f aca="false">F15*(1-Scénarios!$E$14)+G14</f>
        <v>1224.8287095</v>
      </c>
      <c r="H15" s="53" t="n">
        <f aca="false">G15*(1-Scénarios!$E$14)+H14</f>
        <v>1457.452889385</v>
      </c>
      <c r="I15" s="53" t="n">
        <f aca="false">H15*(1-Scénarios!$E$14)+I14</f>
        <v>1701.95510950455</v>
      </c>
      <c r="J15" s="53" t="n">
        <f aca="false">I15*(1-Scénarios!$E$14)+J14</f>
        <v>1959.62220778523</v>
      </c>
      <c r="K15" s="53" t="n">
        <f aca="false">J15*(1-Scénarios!$E$14)+K14</f>
        <v>2231.82713945234</v>
      </c>
      <c r="L15" s="53" t="n">
        <f aca="false">K15*(1-Scénarios!$E$14)+L14</f>
        <v>2520.03670790061</v>
      </c>
      <c r="M15" s="53" t="n">
        <f aca="false">L15*(1-Scénarios!$E$14)+M14</f>
        <v>2825.81987196014</v>
      </c>
      <c r="N15" s="53" t="n">
        <f aca="false">M15*(1-Scénarios!$E$14)+N14</f>
        <v>3150.85667777305</v>
      </c>
      <c r="O15" s="53" t="n">
        <f aca="false">N15*(1-Scénarios!$E$14)+O14</f>
        <v>3478.29475527176</v>
      </c>
      <c r="P15" s="53" t="n">
        <f aca="false">O15*(1-Scénarios!$E$14)+P14</f>
        <v>3808.76016535103</v>
      </c>
      <c r="Q15" s="53" t="n">
        <f aca="false">P15*(1-Scénarios!$E$14)+Q14</f>
        <v>4142.87751084004</v>
      </c>
      <c r="R15" s="53" t="n">
        <f aca="false">Q15*(1-Scénarios!$E$14)+R14</f>
        <v>4481.27120320487</v>
      </c>
      <c r="S15" s="53" t="n">
        <f aca="false">R15*(1-Scénarios!$E$14)+S14</f>
        <v>4824.56671366773</v>
      </c>
      <c r="T15" s="53" t="n">
        <f aca="false">S15*(1-Scénarios!$E$14)+T14</f>
        <v>5173.39181143237</v>
      </c>
      <c r="U15" s="53" t="n">
        <f aca="false">T15*(1-Scénarios!$E$14)+U14</f>
        <v>5528.3777916467</v>
      </c>
      <c r="V15" s="53" t="n">
        <f aca="false">U15*(1-Scénarios!$E$14)+V14</f>
        <v>5890.16069568175</v>
      </c>
      <c r="W15" s="53" t="n">
        <f aca="false">V15*(1-Scénarios!$E$14)+W14</f>
        <v>6259.38252625975</v>
      </c>
      <c r="X15" s="53" t="n">
        <f aca="false">W15*(1-Scénarios!$E$14)+X14</f>
        <v>6636.69245992333</v>
      </c>
      <c r="Y15" s="53" t="n">
        <f aca="false">X15*(1-Scénarios!$E$14)+Y14</f>
        <v>7022.74805930279</v>
      </c>
      <c r="Z15" s="53" t="n">
        <f aca="false">Y15*(1-Scénarios!$E$14)+Z14</f>
        <v>7418.2164876083</v>
      </c>
      <c r="AA15" s="53" t="n">
        <f aca="false">Z15*(1-Scénarios!$E$14)+AA14</f>
        <v>7823.77572774937</v>
      </c>
      <c r="AB15" s="53" t="n">
        <f aca="false">AA15*(1-Scénarios!$E$14)+AB14</f>
        <v>8240.11580846424</v>
      </c>
      <c r="AC15" s="53" t="n">
        <f aca="false">AB15*(1-Scénarios!$E$14)+AC14</f>
        <v>8667.94003982746</v>
      </c>
      <c r="AD15" s="53" t="n">
        <f aca="false">AC15*(1-Scénarios!$E$14)+AD14</f>
        <v>9107.96626049397</v>
      </c>
      <c r="AE15" s="53" t="n">
        <f aca="false">AD15*(1-Scénarios!$E$14)+AE14</f>
        <v>9560.92809903348</v>
      </c>
      <c r="AF15" s="53" t="n">
        <f aca="false">AE15*(1-Scénarios!$E$14)+AF14</f>
        <v>10027.5762517086</v>
      </c>
      <c r="AG15" s="53" t="n">
        <f aca="false">AF15*(1-Scénarios!$E$14)+AG14</f>
        <v>10508.679779055</v>
      </c>
      <c r="AH15" s="53" t="n">
        <f aca="false">AG15*(1-Scénarios!$E$14)+AH14</f>
        <v>11005.0274236314</v>
      </c>
      <c r="AI15" s="53" t="n">
        <f aca="false">AH15*(1-Scénarios!$E$14)+AI14</f>
        <v>11517.4289513201</v>
      </c>
      <c r="AJ15" s="53" t="n">
        <f aca="false">AI15*(1-Scénarios!$E$14)+AJ14</f>
        <v>12046.7165185792</v>
      </c>
      <c r="AK15" s="53" t="n">
        <f aca="false">AJ15*(1-Scénarios!$E$14)+AK14</f>
        <v>12593.7460680683</v>
      </c>
      <c r="AL15" s="53" t="n">
        <f aca="false">AK15*(1-Scénarios!$E$14)+AL14</f>
        <v>13159.3987550997</v>
      </c>
    </row>
    <row r="16" customFormat="false" ht="15" hidden="false" customHeight="false" outlineLevel="0" collapsed="false">
      <c r="A16" s="13" t="s">
        <v>195</v>
      </c>
      <c r="B16" s="49" t="s">
        <v>188</v>
      </c>
      <c r="C16" s="51" t="n">
        <f aca="false">C10*Scénarios!$E$19</f>
        <v>1.1775</v>
      </c>
      <c r="D16" s="51" t="n">
        <f aca="false">D10*Scénarios!$E$19</f>
        <v>1.628175</v>
      </c>
      <c r="E16" s="51" t="n">
        <f aca="false">E10*Scénarios!$E$19</f>
        <v>2.10420975</v>
      </c>
      <c r="F16" s="51" t="n">
        <f aca="false">F10*Scénarios!$E$19</f>
        <v>2.6079538575</v>
      </c>
      <c r="G16" s="51" t="n">
        <f aca="false">G10*Scénarios!$E$19</f>
        <v>3.141935273775</v>
      </c>
      <c r="H16" s="51" t="n">
        <f aca="false">H10*Scénarios!$E$19</f>
        <v>3.70887485012175</v>
      </c>
      <c r="I16" s="51" t="n">
        <f aca="false">I10*Scénarios!$E$19</f>
        <v>4.3117020499429</v>
      </c>
      <c r="J16" s="51" t="n">
        <f aca="false">J10*Scénarios!$E$19</f>
        <v>4.9535719093954</v>
      </c>
      <c r="K16" s="51" t="n">
        <f aca="false">K10*Scénarios!$E$19</f>
        <v>5.63788334674038</v>
      </c>
      <c r="L16" s="51" t="n">
        <f aca="false">L10*Scénarios!$E$19</f>
        <v>6.36829892853516</v>
      </c>
      <c r="M16" s="51" t="n">
        <f aca="false">M10*Scénarios!$E$19</f>
        <v>7.14876620945186</v>
      </c>
      <c r="N16" s="51" t="n">
        <f aca="false">N10*Scénarios!$E$19</f>
        <v>7.98354077184288</v>
      </c>
      <c r="O16" s="51" t="n">
        <f aca="false">O10*Scénarios!$E$19</f>
        <v>8.83524159930915</v>
      </c>
      <c r="P16" s="51" t="n">
        <f aca="false">P10*Scénarios!$E$19</f>
        <v>9.7050396839763</v>
      </c>
      <c r="Q16" s="51" t="n">
        <f aca="false">Q10*Scénarios!$E$19</f>
        <v>10.5941380394093</v>
      </c>
      <c r="R16" s="51" t="n">
        <f aca="false">R10*Scénarios!$E$19</f>
        <v>11.5037734260174</v>
      </c>
      <c r="S16" s="51" t="n">
        <f aca="false">S10*Scénarios!$E$19</f>
        <v>12.4352181321388</v>
      </c>
      <c r="T16" s="51" t="n">
        <f aca="false">T10*Scénarios!$E$19</f>
        <v>13.3897818134327</v>
      </c>
      <c r="U16" s="51" t="n">
        <f aca="false">U10*Scénarios!$E$19</f>
        <v>14.3688133932981</v>
      </c>
      <c r="V16" s="51" t="n">
        <f aca="false">V10*Scénarios!$E$19</f>
        <v>15.3737030271383</v>
      </c>
      <c r="W16" s="51" t="n">
        <f aca="false">W10*Scénarios!$E$19</f>
        <v>16.4058841333889</v>
      </c>
      <c r="X16" s="51" t="n">
        <f aca="false">X10*Scénarios!$E$19</f>
        <v>17.4668354943345</v>
      </c>
      <c r="Y16" s="51" t="n">
        <f aca="false">Y10*Scénarios!$E$19</f>
        <v>18.5580834298496</v>
      </c>
      <c r="Z16" s="51" t="n">
        <f aca="false">Z10*Scénarios!$E$19</f>
        <v>19.6812040473131</v>
      </c>
      <c r="AA16" s="51" t="n">
        <f aca="false">AA10*Scénarios!$E$19</f>
        <v>20.837825571067</v>
      </c>
      <c r="AB16" s="51" t="n">
        <f aca="false">AB10*Scénarios!$E$19</f>
        <v>22.0296307549153</v>
      </c>
      <c r="AC16" s="51" t="n">
        <f aca="false">AC10*Scénarios!$E$19</f>
        <v>23.2583593812873</v>
      </c>
      <c r="AD16" s="51" t="n">
        <f aca="false">AD10*Scénarios!$E$19</f>
        <v>24.5258108508289</v>
      </c>
      <c r="AE16" s="51" t="n">
        <f aca="false">AE10*Scénarios!$E$19</f>
        <v>25.8338468663235</v>
      </c>
      <c r="AF16" s="51" t="n">
        <f aca="false">AF10*Scénarios!$E$19</f>
        <v>27.184394214994</v>
      </c>
      <c r="AG16" s="51" t="n">
        <f aca="false">AG10*Scénarios!$E$19</f>
        <v>28.5794476533909</v>
      </c>
      <c r="AH16" s="51" t="n">
        <f aca="false">AH10*Scénarios!$E$19</f>
        <v>30.0210728992296</v>
      </c>
      <c r="AI16" s="51" t="n">
        <f aca="false">AI10*Scénarios!$E$19</f>
        <v>31.5114097347109</v>
      </c>
      <c r="AJ16" s="51" t="n">
        <f aca="false">AJ10*Scénarios!$E$19</f>
        <v>33.052675226026</v>
      </c>
      <c r="AK16" s="51" t="n">
        <f aca="false">AK10*Scénarios!$E$19</f>
        <v>34.647167063936</v>
      </c>
      <c r="AL16" s="51" t="n">
        <f aca="false">AL10*Scénarios!$E$19</f>
        <v>36.2972670304962</v>
      </c>
    </row>
    <row r="17" customFormat="false" ht="15" hidden="false" customHeight="false" outlineLevel="0" collapsed="false">
      <c r="A17" s="13" t="s">
        <v>196</v>
      </c>
      <c r="B17" s="49" t="s">
        <v>188</v>
      </c>
      <c r="C17" s="51" t="n">
        <f aca="false">C16*Scénarios!$E$20</f>
        <v>0.7065</v>
      </c>
      <c r="D17" s="51" t="n">
        <f aca="false">D16*Scénarios!$E$20</f>
        <v>0.976905</v>
      </c>
      <c r="E17" s="51" t="n">
        <f aca="false">E16*Scénarios!$E$20</f>
        <v>1.26252585</v>
      </c>
      <c r="F17" s="51" t="n">
        <f aca="false">F16*Scénarios!$E$20</f>
        <v>1.5647723145</v>
      </c>
      <c r="G17" s="51" t="n">
        <f aca="false">G16*Scénarios!$E$20</f>
        <v>1.885161164265</v>
      </c>
      <c r="H17" s="51" t="n">
        <f aca="false">H16*Scénarios!$E$20</f>
        <v>2.22532491007305</v>
      </c>
      <c r="I17" s="51" t="n">
        <f aca="false">I16*Scénarios!$E$20</f>
        <v>2.58702122996574</v>
      </c>
      <c r="J17" s="51" t="n">
        <f aca="false">J16*Scénarios!$E$20</f>
        <v>2.97214314563724</v>
      </c>
      <c r="K17" s="51" t="n">
        <f aca="false">K16*Scénarios!$E$20</f>
        <v>3.38273000804423</v>
      </c>
      <c r="L17" s="51" t="n">
        <f aca="false">L16*Scénarios!$E$20</f>
        <v>3.8209793571211</v>
      </c>
      <c r="M17" s="51" t="n">
        <f aca="false">M16*Scénarios!$E$20</f>
        <v>4.28925972567112</v>
      </c>
      <c r="N17" s="51" t="n">
        <f aca="false">N16*Scénarios!$E$20</f>
        <v>4.79012446310573</v>
      </c>
      <c r="O17" s="51" t="n">
        <f aca="false">O16*Scénarios!$E$20</f>
        <v>5.30114495958549</v>
      </c>
      <c r="P17" s="51" t="n">
        <f aca="false">P16*Scénarios!$E$20</f>
        <v>5.82302381038578</v>
      </c>
      <c r="Q17" s="51" t="n">
        <f aca="false">Q16*Scénarios!$E$20</f>
        <v>6.35648282364557</v>
      </c>
      <c r="R17" s="51" t="n">
        <f aca="false">R16*Scénarios!$E$20</f>
        <v>6.90226405561043</v>
      </c>
      <c r="S17" s="51" t="n">
        <f aca="false">S16*Scénarios!$E$20</f>
        <v>7.4611308792833</v>
      </c>
      <c r="T17" s="51" t="n">
        <f aca="false">T16*Scénarios!$E$20</f>
        <v>8.03386908805964</v>
      </c>
      <c r="U17" s="51" t="n">
        <f aca="false">U16*Scénarios!$E$20</f>
        <v>8.62128803597888</v>
      </c>
      <c r="V17" s="51" t="n">
        <f aca="false">V16*Scénarios!$E$20</f>
        <v>9.22422181628299</v>
      </c>
      <c r="W17" s="51" t="n">
        <f aca="false">W16*Scénarios!$E$20</f>
        <v>9.84353048003331</v>
      </c>
      <c r="X17" s="51" t="n">
        <f aca="false">X16*Scénarios!$E$20</f>
        <v>10.4801012966007</v>
      </c>
      <c r="Y17" s="51" t="n">
        <f aca="false">Y16*Scénarios!$E$20</f>
        <v>11.1348500579098</v>
      </c>
      <c r="Z17" s="51" t="n">
        <f aca="false">Z16*Scénarios!$E$20</f>
        <v>11.8087224283878</v>
      </c>
      <c r="AA17" s="51" t="n">
        <f aca="false">AA16*Scénarios!$E$20</f>
        <v>12.5026953426402</v>
      </c>
      <c r="AB17" s="51" t="n">
        <f aca="false">AB16*Scénarios!$E$20</f>
        <v>13.2177784529492</v>
      </c>
      <c r="AC17" s="51" t="n">
        <f aca="false">AC16*Scénarios!$E$20</f>
        <v>13.9550156287724</v>
      </c>
      <c r="AD17" s="51" t="n">
        <f aca="false">AD16*Scénarios!$E$20</f>
        <v>14.7154865104973</v>
      </c>
      <c r="AE17" s="51" t="n">
        <f aca="false">AE16*Scénarios!$E$20</f>
        <v>15.5003081197941</v>
      </c>
      <c r="AF17" s="51" t="n">
        <f aca="false">AF16*Scénarios!$E$20</f>
        <v>16.3106365289964</v>
      </c>
      <c r="AG17" s="51" t="n">
        <f aca="false">AG16*Scénarios!$E$20</f>
        <v>17.1476685920345</v>
      </c>
      <c r="AH17" s="51" t="n">
        <f aca="false">AH16*Scénarios!$E$20</f>
        <v>18.0126437395378</v>
      </c>
      <c r="AI17" s="51" t="n">
        <f aca="false">AI16*Scénarios!$E$20</f>
        <v>18.9068458408265</v>
      </c>
      <c r="AJ17" s="51" t="n">
        <f aca="false">AJ16*Scénarios!$E$20</f>
        <v>19.8316051356156</v>
      </c>
      <c r="AK17" s="51" t="n">
        <f aca="false">AK16*Scénarios!$E$20</f>
        <v>20.7883002383616</v>
      </c>
      <c r="AL17" s="51" t="n">
        <f aca="false">AL16*Scénarios!$E$20</f>
        <v>21.7783602182977</v>
      </c>
    </row>
    <row r="18" customFormat="false" ht="15" hidden="false" customHeight="false" outlineLevel="0" collapsed="false">
      <c r="A18" s="54" t="s">
        <v>197</v>
      </c>
      <c r="B18" s="55" t="s">
        <v>188</v>
      </c>
      <c r="C18" s="56" t="n">
        <f aca="false">C10+C13+C15</f>
        <v>417.55</v>
      </c>
      <c r="D18" s="56" t="n">
        <f aca="false">D10+D13+D15</f>
        <v>627.2635</v>
      </c>
      <c r="E18" s="56" t="n">
        <f aca="false">E10+E13+E15</f>
        <v>845.158795</v>
      </c>
      <c r="F18" s="56" t="n">
        <f aca="false">F10+F13+F15</f>
        <v>1072.31358715</v>
      </c>
      <c r="G18" s="56" t="n">
        <f aca="false">G10+G13+G15</f>
        <v>1309.8708350155</v>
      </c>
      <c r="H18" s="56" t="n">
        <f aca="false">H10+H13+H15</f>
        <v>1559.04501613343</v>
      </c>
      <c r="I18" s="56" t="n">
        <f aca="false">I10+I13+I15</f>
        <v>1821.1288386488</v>
      </c>
      <c r="J18" s="56" t="n">
        <f aca="false">J10+J13+J15</f>
        <v>2097.50044054929</v>
      </c>
      <c r="K18" s="56" t="n">
        <f aca="false">K10+K13+K15</f>
        <v>2389.63111796714</v>
      </c>
      <c r="L18" s="56" t="n">
        <f aca="false">L10+L13+L15</f>
        <v>2699.09362721233</v>
      </c>
      <c r="M18" s="56" t="n">
        <f aca="false">M10+M13+M15</f>
        <v>3027.57110865705</v>
      </c>
      <c r="N18" s="56" t="n">
        <f aca="false">N10+N13+N15</f>
        <v>3376.86668433077</v>
      </c>
      <c r="O18" s="56" t="n">
        <f aca="false">O10+O13+O15</f>
        <v>3729.04822087292</v>
      </c>
      <c r="P18" s="56" t="n">
        <f aca="false">P10+P13+P15</f>
        <v>4084.77573659394</v>
      </c>
      <c r="Q18" s="56" t="n">
        <f aca="false">Q10+Q13+Q15</f>
        <v>4444.70871293984</v>
      </c>
      <c r="R18" s="56" t="n">
        <f aca="false">R10+R13+R15</f>
        <v>4809.50741115562</v>
      </c>
      <c r="S18" s="56" t="n">
        <f aca="false">S10+S13+S15</f>
        <v>5179.83417497046</v>
      </c>
      <c r="T18" s="56" t="n">
        <f aca="false">T10+T13+T15</f>
        <v>5556.35472207014</v>
      </c>
      <c r="U18" s="56" t="n">
        <f aca="false">U10+U13+U15</f>
        <v>5939.73942706642</v>
      </c>
      <c r="V18" s="56" t="n">
        <f aca="false">V10+V13+V15</f>
        <v>6330.66459862402</v>
      </c>
      <c r="W18" s="56" t="n">
        <f aca="false">W10+W13+W15</f>
        <v>6729.81375336228</v>
      </c>
      <c r="X18" s="56" t="n">
        <f aca="false">X10+X13+X15</f>
        <v>7137.87888911126</v>
      </c>
      <c r="Y18" s="56" t="n">
        <f aca="false">Y10+Y13+Y15</f>
        <v>7555.5617600695</v>
      </c>
      <c r="Z18" s="56" t="n">
        <f aca="false">Z10+Z13+Z15</f>
        <v>7983.5751563846</v>
      </c>
      <c r="AA18" s="56" t="n">
        <f aca="false">AA10+AA13+AA15</f>
        <v>8422.64419065627</v>
      </c>
      <c r="AB18" s="56" t="n">
        <f aca="false">AB10+AB13+AB15</f>
        <v>8873.50759384559</v>
      </c>
      <c r="AC18" s="56" t="n">
        <f aca="false">AC10+AC13+AC15</f>
        <v>9336.91902306349</v>
      </c>
      <c r="AD18" s="56" t="n">
        <f aca="false">AD10+AD13+AD15</f>
        <v>9813.64838370568</v>
      </c>
      <c r="AE18" s="56" t="n">
        <f aca="false">AE10+AE13+AE15</f>
        <v>10304.4831684005</v>
      </c>
      <c r="AF18" s="56" t="n">
        <f aca="false">AF10+AF13+AF15</f>
        <v>10810.2298152403</v>
      </c>
      <c r="AG18" s="56" t="n">
        <f aca="false">AG10+AG13+AG15</f>
        <v>11331.7150877764</v>
      </c>
      <c r="AH18" s="56" t="n">
        <f aca="false">AH10+AH13+AH15</f>
        <v>11869.7874792705</v>
      </c>
      <c r="AI18" s="56" t="n">
        <f aca="false">AI10+AI13+AI15</f>
        <v>12425.3186437166</v>
      </c>
      <c r="AJ18" s="56" t="n">
        <f aca="false">AJ10+AJ13+AJ15</f>
        <v>12999.2048561674</v>
      </c>
      <c r="AK18" s="56" t="n">
        <f aca="false">AK10+AK13+AK15</f>
        <v>13592.3685049311</v>
      </c>
      <c r="AL18" s="56" t="n">
        <f aca="false">AL10+AL13+AL15</f>
        <v>14205.7596182349</v>
      </c>
    </row>
    <row r="20" customFormat="false" ht="15" hidden="false" customHeight="false" outlineLevel="0" collapsed="false">
      <c r="A20" s="19" t="s">
        <v>198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customFormat="false" ht="15" hidden="false" customHeight="false" outlineLevel="0" collapsed="false">
      <c r="A21" s="13" t="s">
        <v>199</v>
      </c>
      <c r="B21" s="49" t="s">
        <v>200</v>
      </c>
      <c r="C21" s="57" t="n">
        <f aca="false">C13*Scénarios!$E$16+C10*Scénarios!$E$17</f>
        <v>12190</v>
      </c>
      <c r="D21" s="57" t="n">
        <f aca="false">D13*Scénarios!$E$16+D10*Scénarios!$E$17</f>
        <v>17656.3</v>
      </c>
      <c r="E21" s="57" t="n">
        <f aca="false">E13*Scénarios!$E$16+E10*Scénarios!$E$17</f>
        <v>23425.171</v>
      </c>
      <c r="F21" s="57" t="n">
        <f aca="false">F13*Scénarios!$E$16+F10*Scénarios!$E$17</f>
        <v>29524.86067</v>
      </c>
      <c r="G21" s="57" t="n">
        <f aca="false">G13*Scénarios!$E$16+G10*Scénarios!$E$17</f>
        <v>35985.7552339</v>
      </c>
      <c r="H21" s="57" t="n">
        <f aca="false">H13*Scénarios!$E$16+H10*Scénarios!$E$17</f>
        <v>42840.554191603</v>
      </c>
      <c r="I21" s="57" t="n">
        <f aca="false">I13*Scénarios!$E$16+I10*Scénarios!$E$17</f>
        <v>50124.4589097525</v>
      </c>
      <c r="J21" s="57" t="n">
        <f aca="false">J13*Scénarios!$E$16+J10*Scénarios!$E$17</f>
        <v>57875.3761938694</v>
      </c>
      <c r="K21" s="57" t="n">
        <f aca="false">K13*Scénarios!$E$16+K10*Scénarios!$E$17</f>
        <v>66134.1380435754</v>
      </c>
      <c r="L21" s="57" t="n">
        <f aca="false">L13*Scénarios!$E$16+L10*Scénarios!$E$17</f>
        <v>74944.7388886321</v>
      </c>
      <c r="M21" s="57" t="n">
        <f aca="false">M13*Scénarios!$E$16+M10*Scénarios!$E$17</f>
        <v>84354.5917072462</v>
      </c>
      <c r="N21" s="57" t="n">
        <f aca="false">N13*Scénarios!$E$16+N10*Scénarios!$E$17</f>
        <v>94414.8045401237</v>
      </c>
      <c r="O21" s="57" t="n">
        <f aca="false">O13*Scénarios!$E$16+O10*Scénarios!$E$17</f>
        <v>104676.845011379</v>
      </c>
      <c r="P21" s="57" t="n">
        <f aca="false">P13*Scénarios!$E$16+P10*Scénarios!$E$17</f>
        <v>115154.803652794</v>
      </c>
      <c r="Q21" s="57" t="n">
        <f aca="false">Q13*Scénarios!$E$16+Q10*Scénarios!$E$17</f>
        <v>125863.154094638</v>
      </c>
      <c r="R21" s="57" t="n">
        <f aca="false">R13*Scénarios!$E$16+R10*Scénarios!$E$17</f>
        <v>136816.773805283</v>
      </c>
      <c r="S21" s="57" t="n">
        <f aca="false">S13*Scénarios!$E$16+S10*Scénarios!$E$17</f>
        <v>148030.965497948</v>
      </c>
      <c r="T21" s="57" t="n">
        <f aca="false">T13*Scénarios!$E$16+T10*Scénarios!$E$17</f>
        <v>159521.479236107</v>
      </c>
      <c r="U21" s="57" t="n">
        <f aca="false">U13*Scénarios!$E$16+U10*Scénarios!$E$17</f>
        <v>171304.535270244</v>
      </c>
      <c r="V21" s="57" t="n">
        <f aca="false">V13*Scénarios!$E$16+V10*Scénarios!$E$17</f>
        <v>183396.847639806</v>
      </c>
      <c r="W21" s="57" t="n">
        <f aca="false">W13*Scénarios!$E$16+W10*Scénarios!$E$17</f>
        <v>195815.648575388</v>
      </c>
      <c r="X21" s="57" t="n">
        <f aca="false">X13*Scénarios!$E$16+X10*Scénarios!$E$17</f>
        <v>208578.713737494</v>
      </c>
      <c r="Y21" s="57" t="n">
        <f aca="false">Y13*Scénarios!$E$16+Y10*Scénarios!$E$17</f>
        <v>221704.388329511</v>
      </c>
      <c r="Z21" s="57" t="n">
        <f aca="false">Z13*Scénarios!$E$16+Z10*Scénarios!$E$17</f>
        <v>235211.614123933</v>
      </c>
      <c r="AA21" s="57" t="n">
        <f aca="false">AA13*Scénarios!$E$16+AA10*Scénarios!$E$17</f>
        <v>249119.957442295</v>
      </c>
      <c r="AB21" s="57" t="n">
        <f aca="false">AB13*Scénarios!$E$16+AB10*Scénarios!$E$17</f>
        <v>263449.63813079</v>
      </c>
      <c r="AC21" s="57" t="n">
        <f aca="false">AC13*Scénarios!$E$16+AC10*Scénarios!$E$17</f>
        <v>278221.5595751</v>
      </c>
      <c r="AD21" s="57" t="n">
        <f aca="false">AD13*Scénarios!$E$16+AD10*Scénarios!$E$17</f>
        <v>293457.33979961</v>
      </c>
      <c r="AE21" s="57" t="n">
        <f aca="false">AE13*Scénarios!$E$16+AE10*Scénarios!$E$17</f>
        <v>309179.343697855</v>
      </c>
      <c r="AF21" s="57" t="n">
        <f aca="false">AF13*Scénarios!$E$16+AF10*Scénarios!$E$17</f>
        <v>325410.716442842</v>
      </c>
      <c r="AG21" s="57" t="n">
        <f aca="false">AG13*Scénarios!$E$16+AG10*Scénarios!$E$17</f>
        <v>342175.418127717</v>
      </c>
      <c r="AH21" s="57" t="n">
        <f aca="false">AH13*Scénarios!$E$16+AH10*Scénarios!$E$17</f>
        <v>359498.259689171</v>
      </c>
      <c r="AI21" s="57" t="n">
        <f aca="false">AI13*Scénarios!$E$16+AI10*Scénarios!$E$17</f>
        <v>377404.940167994</v>
      </c>
      <c r="AJ21" s="57" t="n">
        <f aca="false">AJ13*Scénarios!$E$16+AJ10*Scénarios!$E$17</f>
        <v>395922.085363232</v>
      </c>
      <c r="AK21" s="57" t="n">
        <f aca="false">AK13*Scénarios!$E$16+AK10*Scénarios!$E$17</f>
        <v>415077.287938623</v>
      </c>
      <c r="AL21" s="57" t="n">
        <f aca="false">AL13*Scénarios!$E$16+AL10*Scénarios!$E$17</f>
        <v>434899.149042205</v>
      </c>
    </row>
    <row r="22" customFormat="false" ht="15" hidden="false" customHeight="false" outlineLevel="0" collapsed="false">
      <c r="A22" s="13" t="s">
        <v>201</v>
      </c>
      <c r="B22" s="49" t="s">
        <v>200</v>
      </c>
      <c r="C22" s="57" t="n">
        <f aca="false">C17*Scénarios!$E$21*Scénarios!$E$22*Scénarios!$E$23</f>
        <v>678.24</v>
      </c>
      <c r="D22" s="57" t="n">
        <f aca="false">D17*Scénarios!$E$21*Scénarios!$E$22*Scénarios!$E$23</f>
        <v>937.8288</v>
      </c>
      <c r="E22" s="57" t="n">
        <f aca="false">E17*Scénarios!$E$21*Scénarios!$E$22*Scénarios!$E$23</f>
        <v>1212.024816</v>
      </c>
      <c r="F22" s="57" t="n">
        <f aca="false">F17*Scénarios!$E$21*Scénarios!$E$22*Scénarios!$E$23</f>
        <v>1502.18142192</v>
      </c>
      <c r="G22" s="57" t="n">
        <f aca="false">G17*Scénarios!$E$21*Scénarios!$E$22*Scénarios!$E$23</f>
        <v>1809.7547176944</v>
      </c>
      <c r="H22" s="57" t="n">
        <f aca="false">H17*Scénarios!$E$21*Scénarios!$E$22*Scénarios!$E$23</f>
        <v>2136.31191367013</v>
      </c>
      <c r="I22" s="57" t="n">
        <f aca="false">I17*Scénarios!$E$21*Scénarios!$E$22*Scénarios!$E$23</f>
        <v>2483.54038076711</v>
      </c>
      <c r="J22" s="57" t="n">
        <f aca="false">J17*Scénarios!$E$21*Scénarios!$E$22*Scénarios!$E$23</f>
        <v>2853.25741981175</v>
      </c>
      <c r="K22" s="57" t="n">
        <f aca="false">K17*Scénarios!$E$21*Scénarios!$E$22*Scénarios!$E$23</f>
        <v>3247.42080772246</v>
      </c>
      <c r="L22" s="57" t="n">
        <f aca="false">L17*Scénarios!$E$21*Scénarios!$E$22*Scénarios!$E$23</f>
        <v>3668.14018283625</v>
      </c>
      <c r="M22" s="57" t="n">
        <f aca="false">M17*Scénarios!$E$21*Scénarios!$E$22*Scénarios!$E$23</f>
        <v>4117.68933664427</v>
      </c>
      <c r="N22" s="57" t="n">
        <f aca="false">N17*Scénarios!$E$21*Scénarios!$E$22*Scénarios!$E$23</f>
        <v>4598.5194845815</v>
      </c>
      <c r="O22" s="57" t="n">
        <f aca="false">O17*Scénarios!$E$21*Scénarios!$E$22*Scénarios!$E$23</f>
        <v>5089.09916120207</v>
      </c>
      <c r="P22" s="57" t="n">
        <f aca="false">P17*Scénarios!$E$21*Scénarios!$E$22*Scénarios!$E$23</f>
        <v>5590.10285797035</v>
      </c>
      <c r="Q22" s="57" t="n">
        <f aca="false">Q17*Scénarios!$E$21*Scénarios!$E$22*Scénarios!$E$23</f>
        <v>6102.22351069975</v>
      </c>
      <c r="R22" s="57" t="n">
        <f aca="false">R17*Scénarios!$E$21*Scénarios!$E$22*Scénarios!$E$23</f>
        <v>6626.17349338601</v>
      </c>
      <c r="S22" s="57" t="n">
        <f aca="false">S17*Scénarios!$E$21*Scénarios!$E$22*Scénarios!$E$23</f>
        <v>7162.68564411197</v>
      </c>
      <c r="T22" s="57" t="n">
        <f aca="false">T17*Scénarios!$E$21*Scénarios!$E$22*Scénarios!$E$23</f>
        <v>7712.51432453726</v>
      </c>
      <c r="U22" s="57" t="n">
        <f aca="false">U17*Scénarios!$E$21*Scénarios!$E$22*Scénarios!$E$23</f>
        <v>8276.43651453973</v>
      </c>
      <c r="V22" s="57" t="n">
        <f aca="false">V17*Scénarios!$E$21*Scénarios!$E$22*Scénarios!$E$23</f>
        <v>8855.25294363167</v>
      </c>
      <c r="W22" s="57" t="n">
        <f aca="false">W17*Scénarios!$E$21*Scénarios!$E$22*Scénarios!$E$23</f>
        <v>9449.78926083198</v>
      </c>
      <c r="X22" s="57" t="n">
        <f aca="false">X17*Scénarios!$E$21*Scénarios!$E$22*Scénarios!$E$23</f>
        <v>10060.8972447366</v>
      </c>
      <c r="Y22" s="57" t="n">
        <f aca="false">Y17*Scénarios!$E$21*Scénarios!$E$22*Scénarios!$E$23</f>
        <v>10689.4560555934</v>
      </c>
      <c r="Z22" s="57" t="n">
        <f aca="false">Z17*Scénarios!$E$21*Scénarios!$E$22*Scénarios!$E$23</f>
        <v>11336.3735312523</v>
      </c>
      <c r="AA22" s="57" t="n">
        <f aca="false">AA17*Scénarios!$E$21*Scénarios!$E$22*Scénarios!$E$23</f>
        <v>12002.5875289346</v>
      </c>
      <c r="AB22" s="57" t="n">
        <f aca="false">AB17*Scénarios!$E$21*Scénarios!$E$22*Scénarios!$E$23</f>
        <v>12689.0673148312</v>
      </c>
      <c r="AC22" s="57" t="n">
        <f aca="false">AC17*Scénarios!$E$21*Scénarios!$E$22*Scénarios!$E$23</f>
        <v>13396.8150036215</v>
      </c>
      <c r="AD22" s="57" t="n">
        <f aca="false">AD17*Scénarios!$E$21*Scénarios!$E$22*Scénarios!$E$23</f>
        <v>14126.8670500775</v>
      </c>
      <c r="AE22" s="57" t="n">
        <f aca="false">AE17*Scénarios!$E$21*Scénarios!$E$22*Scénarios!$E$23</f>
        <v>14880.2957950023</v>
      </c>
      <c r="AF22" s="57" t="n">
        <f aca="false">AF17*Scénarios!$E$21*Scénarios!$E$22*Scénarios!$E$23</f>
        <v>15658.2110678366</v>
      </c>
      <c r="AG22" s="57" t="n">
        <f aca="false">AG17*Scénarios!$E$21*Scénarios!$E$22*Scénarios!$E$23</f>
        <v>16461.7618483531</v>
      </c>
      <c r="AH22" s="57" t="n">
        <f aca="false">AH17*Scénarios!$E$21*Scénarios!$E$22*Scénarios!$E$23</f>
        <v>17292.1379899563</v>
      </c>
      <c r="AI22" s="57" t="n">
        <f aca="false">AI17*Scénarios!$E$21*Scénarios!$E$22*Scénarios!$E$23</f>
        <v>18150.5720071935</v>
      </c>
      <c r="AJ22" s="57" t="n">
        <f aca="false">AJ17*Scénarios!$E$21*Scénarios!$E$22*Scénarios!$E$23</f>
        <v>19038.340930191</v>
      </c>
      <c r="AK22" s="57" t="n">
        <f aca="false">AK17*Scénarios!$E$21*Scénarios!$E$22*Scénarios!$E$23</f>
        <v>19956.7682288271</v>
      </c>
      <c r="AL22" s="57" t="n">
        <f aca="false">AL17*Scénarios!$E$21*Scénarios!$E$22*Scénarios!$E$23</f>
        <v>20907.2258095658</v>
      </c>
    </row>
    <row r="23" customFormat="false" ht="15" hidden="false" customHeight="false" outlineLevel="0" collapsed="false">
      <c r="A23" s="13" t="str">
        <f aca="false">"API — "&amp;Hypothèses!$A$38</f>
        <v>API — HotelSaver (abonnements des hôtels + acomptes des clients)</v>
      </c>
      <c r="B23" s="49" t="s">
        <v>200</v>
      </c>
      <c r="C23" s="57" t="n">
        <f aca="false">IF(AND(Hypothèses!$B$38&gt;0,C$4&gt;=Hypothèses!$B$38),Hypothèses!$C$38*(1+Hypothèses!$E$38)^(C$4-Hypothèses!$B$38)*Hypothèses!$D$38*Scénarios!$E$24,0)</f>
        <v>800</v>
      </c>
      <c r="D23" s="57" t="n">
        <f aca="false">IF(AND(Hypothèses!$B$38&gt;0,D$4&gt;=Hypothèses!$B$38),Hypothèses!$C$38*(1+Hypothèses!$E$38)^(D$4-Hypothèses!$B$38)*Hypothèses!$D$38*Scénarios!$E$24,0)</f>
        <v>848</v>
      </c>
      <c r="E23" s="57" t="n">
        <f aca="false">IF(AND(Hypothèses!$B$38&gt;0,E$4&gt;=Hypothèses!$B$38),Hypothèses!$C$38*(1+Hypothèses!$E$38)^(E$4-Hypothèses!$B$38)*Hypothèses!$D$38*Scénarios!$E$24,0)</f>
        <v>898.88</v>
      </c>
      <c r="F23" s="57" t="n">
        <f aca="false">IF(AND(Hypothèses!$B$38&gt;0,F$4&gt;=Hypothèses!$B$38),Hypothèses!$C$38*(1+Hypothèses!$E$38)^(F$4-Hypothèses!$B$38)*Hypothèses!$D$38*Scénarios!$E$24,0)</f>
        <v>952.8128</v>
      </c>
      <c r="G23" s="57" t="n">
        <f aca="false">IF(AND(Hypothèses!$B$38&gt;0,G$4&gt;=Hypothèses!$B$38),Hypothèses!$C$38*(1+Hypothèses!$E$38)^(G$4-Hypothèses!$B$38)*Hypothèses!$D$38*Scénarios!$E$24,0)</f>
        <v>1009.981568</v>
      </c>
      <c r="H23" s="57" t="n">
        <f aca="false">IF(AND(Hypothèses!$B$38&gt;0,H$4&gt;=Hypothèses!$B$38),Hypothèses!$C$38*(1+Hypothèses!$E$38)^(H$4-Hypothèses!$B$38)*Hypothèses!$D$38*Scénarios!$E$24,0)</f>
        <v>1070.58046208</v>
      </c>
      <c r="I23" s="57" t="n">
        <f aca="false">IF(AND(Hypothèses!$B$38&gt;0,I$4&gt;=Hypothèses!$B$38),Hypothèses!$C$38*(1+Hypothèses!$E$38)^(I$4-Hypothèses!$B$38)*Hypothèses!$D$38*Scénarios!$E$24,0)</f>
        <v>1134.8152898048</v>
      </c>
      <c r="J23" s="57" t="n">
        <f aca="false">IF(AND(Hypothèses!$B$38&gt;0,J$4&gt;=Hypothèses!$B$38),Hypothèses!$C$38*(1+Hypothèses!$E$38)^(J$4-Hypothèses!$B$38)*Hypothèses!$D$38*Scénarios!$E$24,0)</f>
        <v>1202.90420719309</v>
      </c>
      <c r="K23" s="57" t="n">
        <f aca="false">IF(AND(Hypothèses!$B$38&gt;0,K$4&gt;=Hypothèses!$B$38),Hypothèses!$C$38*(1+Hypothèses!$E$38)^(K$4-Hypothèses!$B$38)*Hypothèses!$D$38*Scénarios!$E$24,0)</f>
        <v>1275.07845962467</v>
      </c>
      <c r="L23" s="57" t="n">
        <f aca="false">IF(AND(Hypothèses!$B$38&gt;0,L$4&gt;=Hypothèses!$B$38),Hypothèses!$C$38*(1+Hypothèses!$E$38)^(L$4-Hypothèses!$B$38)*Hypothèses!$D$38*Scénarios!$E$24,0)</f>
        <v>1351.58316720215</v>
      </c>
      <c r="M23" s="57" t="n">
        <f aca="false">IF(AND(Hypothèses!$B$38&gt;0,M$4&gt;=Hypothèses!$B$38),Hypothèses!$C$38*(1+Hypothèses!$E$38)^(M$4-Hypothèses!$B$38)*Hypothèses!$D$38*Scénarios!$E$24,0)</f>
        <v>1432.67815723428</v>
      </c>
      <c r="N23" s="57" t="n">
        <f aca="false">IF(AND(Hypothèses!$B$38&gt;0,N$4&gt;=Hypothèses!$B$38),Hypothèses!$C$38*(1+Hypothèses!$E$38)^(N$4-Hypothèses!$B$38)*Hypothèses!$D$38*Scénarios!$E$24,0)</f>
        <v>1518.63884666834</v>
      </c>
      <c r="O23" s="57" t="n">
        <f aca="false">IF(AND(Hypothèses!$B$38&gt;0,O$4&gt;=Hypothèses!$B$38),Hypothèses!$C$38*(1+Hypothèses!$E$38)^(O$4-Hypothèses!$B$38)*Hypothèses!$D$38*Scénarios!$E$24,0)</f>
        <v>1609.75717746844</v>
      </c>
      <c r="P23" s="57" t="n">
        <f aca="false">IF(AND(Hypothèses!$B$38&gt;0,P$4&gt;=Hypothèses!$B$38),Hypothèses!$C$38*(1+Hypothèses!$E$38)^(P$4-Hypothèses!$B$38)*Hypothèses!$D$38*Scénarios!$E$24,0)</f>
        <v>1706.34260811655</v>
      </c>
      <c r="Q23" s="57" t="n">
        <f aca="false">IF(AND(Hypothèses!$B$38&gt;0,Q$4&gt;=Hypothèses!$B$38),Hypothèses!$C$38*(1+Hypothèses!$E$38)^(Q$4-Hypothèses!$B$38)*Hypothèses!$D$38*Scénarios!$E$24,0)</f>
        <v>1808.72316460354</v>
      </c>
      <c r="R23" s="57" t="n">
        <f aca="false">IF(AND(Hypothèses!$B$38&gt;0,R$4&gt;=Hypothèses!$B$38),Hypothèses!$C$38*(1+Hypothèses!$E$38)^(R$4-Hypothèses!$B$38)*Hypothèses!$D$38*Scénarios!$E$24,0)</f>
        <v>1917.24655447975</v>
      </c>
      <c r="S23" s="57" t="n">
        <f aca="false">IF(AND(Hypothèses!$B$38&gt;0,S$4&gt;=Hypothèses!$B$38),Hypothèses!$C$38*(1+Hypothèses!$E$38)^(S$4-Hypothèses!$B$38)*Hypothèses!$D$38*Scénarios!$E$24,0)</f>
        <v>2032.28134774854</v>
      </c>
      <c r="T23" s="57" t="n">
        <f aca="false">IF(AND(Hypothèses!$B$38&gt;0,T$4&gt;=Hypothèses!$B$38),Hypothèses!$C$38*(1+Hypothèses!$E$38)^(T$4-Hypothèses!$B$38)*Hypothèses!$D$38*Scénarios!$E$24,0)</f>
        <v>2154.21822861345</v>
      </c>
      <c r="U23" s="57" t="n">
        <f aca="false">IF(AND(Hypothèses!$B$38&gt;0,U$4&gt;=Hypothèses!$B$38),Hypothèses!$C$38*(1+Hypothèses!$E$38)^(U$4-Hypothèses!$B$38)*Hypothèses!$D$38*Scénarios!$E$24,0)</f>
        <v>2283.47132233026</v>
      </c>
      <c r="V23" s="57" t="n">
        <f aca="false">IF(AND(Hypothèses!$B$38&gt;0,V$4&gt;=Hypothèses!$B$38),Hypothèses!$C$38*(1+Hypothèses!$E$38)^(V$4-Hypothèses!$B$38)*Hypothèses!$D$38*Scénarios!$E$24,0)</f>
        <v>2420.47960167007</v>
      </c>
      <c r="W23" s="57" t="n">
        <f aca="false">IF(AND(Hypothèses!$B$38&gt;0,W$4&gt;=Hypothèses!$B$38),Hypothèses!$C$38*(1+Hypothèses!$E$38)^(W$4-Hypothèses!$B$38)*Hypothèses!$D$38*Scénarios!$E$24,0)</f>
        <v>2565.70837777028</v>
      </c>
      <c r="X23" s="57" t="n">
        <f aca="false">IF(AND(Hypothèses!$B$38&gt;0,X$4&gt;=Hypothèses!$B$38),Hypothèses!$C$38*(1+Hypothèses!$E$38)^(X$4-Hypothèses!$B$38)*Hypothèses!$D$38*Scénarios!$E$24,0)</f>
        <v>2719.6508804365</v>
      </c>
      <c r="Y23" s="57" t="n">
        <f aca="false">IF(AND(Hypothèses!$B$38&gt;0,Y$4&gt;=Hypothèses!$B$38),Hypothèses!$C$38*(1+Hypothèses!$E$38)^(Y$4-Hypothèses!$B$38)*Hypothèses!$D$38*Scénarios!$E$24,0)</f>
        <v>2882.82993326269</v>
      </c>
      <c r="Z23" s="57" t="n">
        <f aca="false">IF(AND(Hypothèses!$B$38&gt;0,Z$4&gt;=Hypothèses!$B$38),Hypothèses!$C$38*(1+Hypothèses!$E$38)^(Z$4-Hypothèses!$B$38)*Hypothèses!$D$38*Scénarios!$E$24,0)</f>
        <v>3055.79972925845</v>
      </c>
      <c r="AA23" s="57" t="n">
        <f aca="false">IF(AND(Hypothèses!$B$38&gt;0,AA$4&gt;=Hypothèses!$B$38),Hypothèses!$C$38*(1+Hypothèses!$E$38)^(AA$4-Hypothèses!$B$38)*Hypothèses!$D$38*Scénarios!$E$24,0)</f>
        <v>3239.14771301395</v>
      </c>
      <c r="AB23" s="57" t="n">
        <f aca="false">IF(AND(Hypothèses!$B$38&gt;0,AB$4&gt;=Hypothèses!$B$38),Hypothèses!$C$38*(1+Hypothèses!$E$38)^(AB$4-Hypothèses!$B$38)*Hypothèses!$D$38*Scénarios!$E$24,0)</f>
        <v>3433.49657579479</v>
      </c>
      <c r="AC23" s="57" t="n">
        <f aca="false">IF(AND(Hypothèses!$B$38&gt;0,AC$4&gt;=Hypothèses!$B$38),Hypothèses!$C$38*(1+Hypothèses!$E$38)^(AC$4-Hypothèses!$B$38)*Hypothèses!$D$38*Scénarios!$E$24,0)</f>
        <v>3639.50637034248</v>
      </c>
      <c r="AD23" s="57" t="n">
        <f aca="false">IF(AND(Hypothèses!$B$38&gt;0,AD$4&gt;=Hypothèses!$B$38),Hypothèses!$C$38*(1+Hypothèses!$E$38)^(AD$4-Hypothèses!$B$38)*Hypothèses!$D$38*Scénarios!$E$24,0)</f>
        <v>3857.87675256303</v>
      </c>
      <c r="AE23" s="57" t="n">
        <f aca="false">IF(AND(Hypothèses!$B$38&gt;0,AE$4&gt;=Hypothèses!$B$38),Hypothèses!$C$38*(1+Hypothèses!$E$38)^(AE$4-Hypothèses!$B$38)*Hypothèses!$D$38*Scénarios!$E$24,0)</f>
        <v>4089.34935771681</v>
      </c>
      <c r="AF23" s="57" t="n">
        <f aca="false">IF(AND(Hypothèses!$B$38&gt;0,AF$4&gt;=Hypothèses!$B$38),Hypothèses!$C$38*(1+Hypothèses!$E$38)^(AF$4-Hypothèses!$B$38)*Hypothèses!$D$38*Scénarios!$E$24,0)</f>
        <v>4334.71031917982</v>
      </c>
      <c r="AG23" s="57" t="n">
        <f aca="false">IF(AND(Hypothèses!$B$38&gt;0,AG$4&gt;=Hypothèses!$B$38),Hypothèses!$C$38*(1+Hypothèses!$E$38)^(AG$4-Hypothèses!$B$38)*Hypothèses!$D$38*Scénarios!$E$24,0)</f>
        <v>4594.79293833061</v>
      </c>
      <c r="AH23" s="57" t="n">
        <f aca="false">IF(AND(Hypothèses!$B$38&gt;0,AH$4&gt;=Hypothèses!$B$38),Hypothèses!$C$38*(1+Hypothèses!$E$38)^(AH$4-Hypothèses!$B$38)*Hypothèses!$D$38*Scénarios!$E$24,0)</f>
        <v>4870.48051463044</v>
      </c>
      <c r="AI23" s="57" t="n">
        <f aca="false">IF(AND(Hypothèses!$B$38&gt;0,AI$4&gt;=Hypothèses!$B$38),Hypothèses!$C$38*(1+Hypothèses!$E$38)^(AI$4-Hypothèses!$B$38)*Hypothèses!$D$38*Scénarios!$E$24,0)</f>
        <v>5162.70934550827</v>
      </c>
      <c r="AJ23" s="57" t="n">
        <f aca="false">IF(AND(Hypothèses!$B$38&gt;0,AJ$4&gt;=Hypothèses!$B$38),Hypothèses!$C$38*(1+Hypothèses!$E$38)^(AJ$4-Hypothèses!$B$38)*Hypothèses!$D$38*Scénarios!$E$24,0)</f>
        <v>5472.47190623877</v>
      </c>
      <c r="AK23" s="57" t="n">
        <f aca="false">IF(AND(Hypothèses!$B$38&gt;0,AK$4&gt;=Hypothèses!$B$38),Hypothèses!$C$38*(1+Hypothèses!$E$38)^(AK$4-Hypothèses!$B$38)*Hypothèses!$D$38*Scénarios!$E$24,0)</f>
        <v>5800.82022061309</v>
      </c>
      <c r="AL23" s="57" t="n">
        <f aca="false">IF(AND(Hypothèses!$B$38&gt;0,AL$4&gt;=Hypothèses!$B$38),Hypothèses!$C$38*(1+Hypothèses!$E$38)^(AL$4-Hypothèses!$B$38)*Hypothèses!$D$38*Scénarios!$E$24,0)</f>
        <v>6148.86943384988</v>
      </c>
    </row>
    <row r="24" customFormat="false" ht="15" hidden="false" customHeight="false" outlineLevel="0" collapsed="false">
      <c r="A24" s="13" t="str">
        <f aca="false">"API — "&amp;Hypothèses!$A$39</f>
        <v>API — Application partenaire 2</v>
      </c>
      <c r="B24" s="49" t="s">
        <v>200</v>
      </c>
      <c r="C24" s="57" t="n">
        <f aca="false">IF(AND(Hypothèses!$B$39&gt;0,C$4&gt;=Hypothèses!$B$39),Hypothèses!$C$39*(1+Hypothèses!$E$39)^(C$4-Hypothèses!$B$39)*Hypothèses!$D$39*Scénarios!$E$24,0)</f>
        <v>0</v>
      </c>
      <c r="D24" s="57" t="n">
        <f aca="false">IF(AND(Hypothèses!$B$39&gt;0,D$4&gt;=Hypothèses!$B$39),Hypothèses!$C$39*(1+Hypothèses!$E$39)^(D$4-Hypothèses!$B$39)*Hypothèses!$D$39*Scénarios!$E$24,0)</f>
        <v>0</v>
      </c>
      <c r="E24" s="57" t="n">
        <f aca="false">IF(AND(Hypothèses!$B$39&gt;0,E$4&gt;=Hypothèses!$B$39),Hypothèses!$C$39*(1+Hypothèses!$E$39)^(E$4-Hypothèses!$B$39)*Hypothèses!$D$39*Scénarios!$E$24,0)</f>
        <v>0</v>
      </c>
      <c r="F24" s="57" t="n">
        <f aca="false">IF(AND(Hypothèses!$B$39&gt;0,F$4&gt;=Hypothèses!$B$39),Hypothèses!$C$39*(1+Hypothèses!$E$39)^(F$4-Hypothèses!$B$39)*Hypothèses!$D$39*Scénarios!$E$24,0)</f>
        <v>0</v>
      </c>
      <c r="G24" s="57" t="n">
        <f aca="false">IF(AND(Hypothèses!$B$39&gt;0,G$4&gt;=Hypothèses!$B$39),Hypothèses!$C$39*(1+Hypothèses!$E$39)^(G$4-Hypothèses!$B$39)*Hypothèses!$D$39*Scénarios!$E$24,0)</f>
        <v>0</v>
      </c>
      <c r="H24" s="57" t="n">
        <f aca="false">IF(AND(Hypothèses!$B$39&gt;0,H$4&gt;=Hypothèses!$B$39),Hypothèses!$C$39*(1+Hypothèses!$E$39)^(H$4-Hypothèses!$B$39)*Hypothèses!$D$39*Scénarios!$E$24,0)</f>
        <v>1500</v>
      </c>
      <c r="I24" s="57" t="n">
        <f aca="false">IF(AND(Hypothèses!$B$39&gt;0,I$4&gt;=Hypothèses!$B$39),Hypothèses!$C$39*(1+Hypothèses!$E$39)^(I$4-Hypothèses!$B$39)*Hypothèses!$D$39*Scénarios!$E$24,0)</f>
        <v>1620</v>
      </c>
      <c r="J24" s="57" t="n">
        <f aca="false">IF(AND(Hypothèses!$B$39&gt;0,J$4&gt;=Hypothèses!$B$39),Hypothèses!$C$39*(1+Hypothèses!$E$39)^(J$4-Hypothèses!$B$39)*Hypothèses!$D$39*Scénarios!$E$24,0)</f>
        <v>1749.6</v>
      </c>
      <c r="K24" s="57" t="n">
        <f aca="false">IF(AND(Hypothèses!$B$39&gt;0,K$4&gt;=Hypothèses!$B$39),Hypothèses!$C$39*(1+Hypothèses!$E$39)^(K$4-Hypothèses!$B$39)*Hypothèses!$D$39*Scénarios!$E$24,0)</f>
        <v>1889.568</v>
      </c>
      <c r="L24" s="57" t="n">
        <f aca="false">IF(AND(Hypothèses!$B$39&gt;0,L$4&gt;=Hypothèses!$B$39),Hypothèses!$C$39*(1+Hypothèses!$E$39)^(L$4-Hypothèses!$B$39)*Hypothèses!$D$39*Scénarios!$E$24,0)</f>
        <v>2040.73344</v>
      </c>
      <c r="M24" s="57" t="n">
        <f aca="false">IF(AND(Hypothèses!$B$39&gt;0,M$4&gt;=Hypothèses!$B$39),Hypothèses!$C$39*(1+Hypothèses!$E$39)^(M$4-Hypothèses!$B$39)*Hypothèses!$D$39*Scénarios!$E$24,0)</f>
        <v>2203.9921152</v>
      </c>
      <c r="N24" s="57" t="n">
        <f aca="false">IF(AND(Hypothèses!$B$39&gt;0,N$4&gt;=Hypothèses!$B$39),Hypothèses!$C$39*(1+Hypothèses!$E$39)^(N$4-Hypothèses!$B$39)*Hypothèses!$D$39*Scénarios!$E$24,0)</f>
        <v>2380.311484416</v>
      </c>
      <c r="O24" s="57" t="n">
        <f aca="false">IF(AND(Hypothèses!$B$39&gt;0,O$4&gt;=Hypothèses!$B$39),Hypothèses!$C$39*(1+Hypothèses!$E$39)^(O$4-Hypothèses!$B$39)*Hypothèses!$D$39*Scénarios!$E$24,0)</f>
        <v>2570.73640316928</v>
      </c>
      <c r="P24" s="57" t="n">
        <f aca="false">IF(AND(Hypothèses!$B$39&gt;0,P$4&gt;=Hypothèses!$B$39),Hypothèses!$C$39*(1+Hypothèses!$E$39)^(P$4-Hypothèses!$B$39)*Hypothèses!$D$39*Scénarios!$E$24,0)</f>
        <v>2776.39531542282</v>
      </c>
      <c r="Q24" s="57" t="n">
        <f aca="false">IF(AND(Hypothèses!$B$39&gt;0,Q$4&gt;=Hypothèses!$B$39),Hypothèses!$C$39*(1+Hypothèses!$E$39)^(Q$4-Hypothèses!$B$39)*Hypothèses!$D$39*Scénarios!$E$24,0)</f>
        <v>2998.50694065665</v>
      </c>
      <c r="R24" s="57" t="n">
        <f aca="false">IF(AND(Hypothèses!$B$39&gt;0,R$4&gt;=Hypothèses!$B$39),Hypothèses!$C$39*(1+Hypothèses!$E$39)^(R$4-Hypothèses!$B$39)*Hypothèses!$D$39*Scénarios!$E$24,0)</f>
        <v>3238.38749590918</v>
      </c>
      <c r="S24" s="57" t="n">
        <f aca="false">IF(AND(Hypothèses!$B$39&gt;0,S$4&gt;=Hypothèses!$B$39),Hypothèses!$C$39*(1+Hypothèses!$E$39)^(S$4-Hypothèses!$B$39)*Hypothèses!$D$39*Scénarios!$E$24,0)</f>
        <v>3497.45849558192</v>
      </c>
      <c r="T24" s="57" t="n">
        <f aca="false">IF(AND(Hypothèses!$B$39&gt;0,T$4&gt;=Hypothèses!$B$39),Hypothèses!$C$39*(1+Hypothèses!$E$39)^(T$4-Hypothèses!$B$39)*Hypothèses!$D$39*Scénarios!$E$24,0)</f>
        <v>3777.25517522847</v>
      </c>
      <c r="U24" s="57" t="n">
        <f aca="false">IF(AND(Hypothèses!$B$39&gt;0,U$4&gt;=Hypothèses!$B$39),Hypothèses!$C$39*(1+Hypothèses!$E$39)^(U$4-Hypothèses!$B$39)*Hypothèses!$D$39*Scénarios!$E$24,0)</f>
        <v>4079.43558924675</v>
      </c>
      <c r="V24" s="57" t="n">
        <f aca="false">IF(AND(Hypothèses!$B$39&gt;0,V$4&gt;=Hypothèses!$B$39),Hypothèses!$C$39*(1+Hypothèses!$E$39)^(V$4-Hypothèses!$B$39)*Hypothèses!$D$39*Scénarios!$E$24,0)</f>
        <v>4405.79043638649</v>
      </c>
      <c r="W24" s="57" t="n">
        <f aca="false">IF(AND(Hypothèses!$B$39&gt;0,W$4&gt;=Hypothèses!$B$39),Hypothèses!$C$39*(1+Hypothèses!$E$39)^(W$4-Hypothèses!$B$39)*Hypothèses!$D$39*Scénarios!$E$24,0)</f>
        <v>4758.25367129741</v>
      </c>
      <c r="X24" s="57" t="n">
        <f aca="false">IF(AND(Hypothèses!$B$39&gt;0,X$4&gt;=Hypothèses!$B$39),Hypothèses!$C$39*(1+Hypothèses!$E$39)^(X$4-Hypothèses!$B$39)*Hypothèses!$D$39*Scénarios!$E$24,0)</f>
        <v>5138.9139650012</v>
      </c>
      <c r="Y24" s="57" t="n">
        <f aca="false">IF(AND(Hypothèses!$B$39&gt;0,Y$4&gt;=Hypothèses!$B$39),Hypothèses!$C$39*(1+Hypothèses!$E$39)^(Y$4-Hypothèses!$B$39)*Hypothèses!$D$39*Scénarios!$E$24,0)</f>
        <v>5550.0270822013</v>
      </c>
      <c r="Z24" s="57" t="n">
        <f aca="false">IF(AND(Hypothèses!$B$39&gt;0,Z$4&gt;=Hypothèses!$B$39),Hypothèses!$C$39*(1+Hypothèses!$E$39)^(Z$4-Hypothèses!$B$39)*Hypothèses!$D$39*Scénarios!$E$24,0)</f>
        <v>5994.0292487774</v>
      </c>
      <c r="AA24" s="57" t="n">
        <f aca="false">IF(AND(Hypothèses!$B$39&gt;0,AA$4&gt;=Hypothèses!$B$39),Hypothèses!$C$39*(1+Hypothèses!$E$39)^(AA$4-Hypothèses!$B$39)*Hypothèses!$D$39*Scénarios!$E$24,0)</f>
        <v>6473.55158867959</v>
      </c>
      <c r="AB24" s="57" t="n">
        <f aca="false">IF(AND(Hypothèses!$B$39&gt;0,AB$4&gt;=Hypothèses!$B$39),Hypothèses!$C$39*(1+Hypothèses!$E$39)^(AB$4-Hypothèses!$B$39)*Hypothèses!$D$39*Scénarios!$E$24,0)</f>
        <v>6991.43571577396</v>
      </c>
      <c r="AC24" s="57" t="n">
        <f aca="false">IF(AND(Hypothèses!$B$39&gt;0,AC$4&gt;=Hypothèses!$B$39),Hypothèses!$C$39*(1+Hypothèses!$E$39)^(AC$4-Hypothèses!$B$39)*Hypothèses!$D$39*Scénarios!$E$24,0)</f>
        <v>7550.75057303588</v>
      </c>
      <c r="AD24" s="57" t="n">
        <f aca="false">IF(AND(Hypothèses!$B$39&gt;0,AD$4&gt;=Hypothèses!$B$39),Hypothèses!$C$39*(1+Hypothèses!$E$39)^(AD$4-Hypothèses!$B$39)*Hypothèses!$D$39*Scénarios!$E$24,0)</f>
        <v>8154.81061887875</v>
      </c>
      <c r="AE24" s="57" t="n">
        <f aca="false">IF(AND(Hypothèses!$B$39&gt;0,AE$4&gt;=Hypothèses!$B$39),Hypothèses!$C$39*(1+Hypothèses!$E$39)^(AE$4-Hypothèses!$B$39)*Hypothèses!$D$39*Scénarios!$E$24,0)</f>
        <v>8807.19546838905</v>
      </c>
      <c r="AF24" s="57" t="n">
        <f aca="false">IF(AND(Hypothèses!$B$39&gt;0,AF$4&gt;=Hypothèses!$B$39),Hypothèses!$C$39*(1+Hypothèses!$E$39)^(AF$4-Hypothèses!$B$39)*Hypothèses!$D$39*Scénarios!$E$24,0)</f>
        <v>9511.77110586018</v>
      </c>
      <c r="AG24" s="57" t="n">
        <f aca="false">IF(AND(Hypothèses!$B$39&gt;0,AG$4&gt;=Hypothèses!$B$39),Hypothèses!$C$39*(1+Hypothèses!$E$39)^(AG$4-Hypothèses!$B$39)*Hypothèses!$D$39*Scénarios!$E$24,0)</f>
        <v>10272.712794329</v>
      </c>
      <c r="AH24" s="57" t="n">
        <f aca="false">IF(AND(Hypothèses!$B$39&gt;0,AH$4&gt;=Hypothèses!$B$39),Hypothèses!$C$39*(1+Hypothèses!$E$39)^(AH$4-Hypothèses!$B$39)*Hypothèses!$D$39*Scénarios!$E$24,0)</f>
        <v>11094.5298178753</v>
      </c>
      <c r="AI24" s="57" t="n">
        <f aca="false">IF(AND(Hypothèses!$B$39&gt;0,AI$4&gt;=Hypothèses!$B$39),Hypothèses!$C$39*(1+Hypothèses!$E$39)^(AI$4-Hypothèses!$B$39)*Hypothèses!$D$39*Scénarios!$E$24,0)</f>
        <v>11982.0922033053</v>
      </c>
      <c r="AJ24" s="57" t="n">
        <f aca="false">IF(AND(Hypothèses!$B$39&gt;0,AJ$4&gt;=Hypothèses!$B$39),Hypothèses!$C$39*(1+Hypothèses!$E$39)^(AJ$4-Hypothèses!$B$39)*Hypothèses!$D$39*Scénarios!$E$24,0)</f>
        <v>12940.6595795698</v>
      </c>
      <c r="AK24" s="57" t="n">
        <f aca="false">IF(AND(Hypothèses!$B$39&gt;0,AK$4&gt;=Hypothèses!$B$39),Hypothèses!$C$39*(1+Hypothèses!$E$39)^(AK$4-Hypothèses!$B$39)*Hypothèses!$D$39*Scénarios!$E$24,0)</f>
        <v>13975.9123459353</v>
      </c>
      <c r="AL24" s="57" t="n">
        <f aca="false">IF(AND(Hypothèses!$B$39&gt;0,AL$4&gt;=Hypothèses!$B$39),Hypothèses!$C$39*(1+Hypothèses!$E$39)^(AL$4-Hypothèses!$B$39)*Hypothèses!$D$39*Scénarios!$E$24,0)</f>
        <v>15093.9853336102</v>
      </c>
    </row>
    <row r="25" customFormat="false" ht="15" hidden="false" customHeight="false" outlineLevel="0" collapsed="false">
      <c r="A25" s="13" t="str">
        <f aca="false">"API — "&amp;Hypothèses!$A$40</f>
        <v>API — Application partenaire 3</v>
      </c>
      <c r="B25" s="49" t="s">
        <v>200</v>
      </c>
      <c r="C25" s="57" t="n">
        <f aca="false">IF(AND(Hypothèses!$B$40&gt;0,C$4&gt;=Hypothèses!$B$40),Hypothèses!$C$40*(1+Hypothèses!$E$40)^(C$4-Hypothèses!$B$40)*Hypothèses!$D$40*Scénarios!$E$24,0)</f>
        <v>0</v>
      </c>
      <c r="D25" s="57" t="n">
        <f aca="false">IF(AND(Hypothèses!$B$40&gt;0,D$4&gt;=Hypothèses!$B$40),Hypothèses!$C$40*(1+Hypothèses!$E$40)^(D$4-Hypothèses!$B$40)*Hypothèses!$D$40*Scénarios!$E$24,0)</f>
        <v>0</v>
      </c>
      <c r="E25" s="57" t="n">
        <f aca="false">IF(AND(Hypothèses!$B$40&gt;0,E$4&gt;=Hypothèses!$B$40),Hypothèses!$C$40*(1+Hypothèses!$E$40)^(E$4-Hypothèses!$B$40)*Hypothèses!$D$40*Scénarios!$E$24,0)</f>
        <v>0</v>
      </c>
      <c r="F25" s="57" t="n">
        <f aca="false">IF(AND(Hypothèses!$B$40&gt;0,F$4&gt;=Hypothèses!$B$40),Hypothèses!$C$40*(1+Hypothèses!$E$40)^(F$4-Hypothèses!$B$40)*Hypothèses!$D$40*Scénarios!$E$24,0)</f>
        <v>0</v>
      </c>
      <c r="G25" s="57" t="n">
        <f aca="false">IF(AND(Hypothèses!$B$40&gt;0,G$4&gt;=Hypothèses!$B$40),Hypothèses!$C$40*(1+Hypothèses!$E$40)^(G$4-Hypothèses!$B$40)*Hypothèses!$D$40*Scénarios!$E$24,0)</f>
        <v>0</v>
      </c>
      <c r="H25" s="57" t="n">
        <f aca="false">IF(AND(Hypothèses!$B$40&gt;0,H$4&gt;=Hypothèses!$B$40),Hypothèses!$C$40*(1+Hypothèses!$E$40)^(H$4-Hypothèses!$B$40)*Hypothèses!$D$40*Scénarios!$E$24,0)</f>
        <v>0</v>
      </c>
      <c r="I25" s="57" t="n">
        <f aca="false">IF(AND(Hypothèses!$B$40&gt;0,I$4&gt;=Hypothèses!$B$40),Hypothèses!$C$40*(1+Hypothèses!$E$40)^(I$4-Hypothèses!$B$40)*Hypothèses!$D$40*Scénarios!$E$24,0)</f>
        <v>0</v>
      </c>
      <c r="J25" s="57" t="n">
        <f aca="false">IF(AND(Hypothèses!$B$40&gt;0,J$4&gt;=Hypothèses!$B$40),Hypothèses!$C$40*(1+Hypothèses!$E$40)^(J$4-Hypothèses!$B$40)*Hypothèses!$D$40*Scénarios!$E$24,0)</f>
        <v>0</v>
      </c>
      <c r="K25" s="57" t="n">
        <f aca="false">IF(AND(Hypothèses!$B$40&gt;0,K$4&gt;=Hypothèses!$B$40),Hypothèses!$C$40*(1+Hypothèses!$E$40)^(K$4-Hypothèses!$B$40)*Hypothèses!$D$40*Scénarios!$E$24,0)</f>
        <v>0</v>
      </c>
      <c r="L25" s="57" t="n">
        <f aca="false">IF(AND(Hypothèses!$B$40&gt;0,L$4&gt;=Hypothèses!$B$40),Hypothèses!$C$40*(1+Hypothèses!$E$40)^(L$4-Hypothèses!$B$40)*Hypothèses!$D$40*Scénarios!$E$24,0)</f>
        <v>0</v>
      </c>
      <c r="M25" s="57" t="n">
        <f aca="false">IF(AND(Hypothèses!$B$40&gt;0,M$4&gt;=Hypothèses!$B$40),Hypothèses!$C$40*(1+Hypothèses!$E$40)^(M$4-Hypothèses!$B$40)*Hypothèses!$D$40*Scénarios!$E$24,0)</f>
        <v>0</v>
      </c>
      <c r="N25" s="57" t="n">
        <f aca="false">IF(AND(Hypothèses!$B$40&gt;0,N$4&gt;=Hypothèses!$B$40),Hypothèses!$C$40*(1+Hypothèses!$E$40)^(N$4-Hypothèses!$B$40)*Hypothèses!$D$40*Scénarios!$E$24,0)</f>
        <v>1500</v>
      </c>
      <c r="O25" s="57" t="n">
        <f aca="false">IF(AND(Hypothèses!$B$40&gt;0,O$4&gt;=Hypothèses!$B$40),Hypothèses!$C$40*(1+Hypothèses!$E$40)^(O$4-Hypothèses!$B$40)*Hypothèses!$D$40*Scénarios!$E$24,0)</f>
        <v>1620</v>
      </c>
      <c r="P25" s="57" t="n">
        <f aca="false">IF(AND(Hypothèses!$B$40&gt;0,P$4&gt;=Hypothèses!$B$40),Hypothèses!$C$40*(1+Hypothèses!$E$40)^(P$4-Hypothèses!$B$40)*Hypothèses!$D$40*Scénarios!$E$24,0)</f>
        <v>1749.6</v>
      </c>
      <c r="Q25" s="57" t="n">
        <f aca="false">IF(AND(Hypothèses!$B$40&gt;0,Q$4&gt;=Hypothèses!$B$40),Hypothèses!$C$40*(1+Hypothèses!$E$40)^(Q$4-Hypothèses!$B$40)*Hypothèses!$D$40*Scénarios!$E$24,0)</f>
        <v>1889.568</v>
      </c>
      <c r="R25" s="57" t="n">
        <f aca="false">IF(AND(Hypothèses!$B$40&gt;0,R$4&gt;=Hypothèses!$B$40),Hypothèses!$C$40*(1+Hypothèses!$E$40)^(R$4-Hypothèses!$B$40)*Hypothèses!$D$40*Scénarios!$E$24,0)</f>
        <v>2040.73344</v>
      </c>
      <c r="S25" s="57" t="n">
        <f aca="false">IF(AND(Hypothèses!$B$40&gt;0,S$4&gt;=Hypothèses!$B$40),Hypothèses!$C$40*(1+Hypothèses!$E$40)^(S$4-Hypothèses!$B$40)*Hypothèses!$D$40*Scénarios!$E$24,0)</f>
        <v>2203.9921152</v>
      </c>
      <c r="T25" s="57" t="n">
        <f aca="false">IF(AND(Hypothèses!$B$40&gt;0,T$4&gt;=Hypothèses!$B$40),Hypothèses!$C$40*(1+Hypothèses!$E$40)^(T$4-Hypothèses!$B$40)*Hypothèses!$D$40*Scénarios!$E$24,0)</f>
        <v>2380.311484416</v>
      </c>
      <c r="U25" s="57" t="n">
        <f aca="false">IF(AND(Hypothèses!$B$40&gt;0,U$4&gt;=Hypothèses!$B$40),Hypothèses!$C$40*(1+Hypothèses!$E$40)^(U$4-Hypothèses!$B$40)*Hypothèses!$D$40*Scénarios!$E$24,0)</f>
        <v>2570.73640316928</v>
      </c>
      <c r="V25" s="57" t="n">
        <f aca="false">IF(AND(Hypothèses!$B$40&gt;0,V$4&gt;=Hypothèses!$B$40),Hypothèses!$C$40*(1+Hypothèses!$E$40)^(V$4-Hypothèses!$B$40)*Hypothèses!$D$40*Scénarios!$E$24,0)</f>
        <v>2776.39531542282</v>
      </c>
      <c r="W25" s="57" t="n">
        <f aca="false">IF(AND(Hypothèses!$B$40&gt;0,W$4&gt;=Hypothèses!$B$40),Hypothèses!$C$40*(1+Hypothèses!$E$40)^(W$4-Hypothèses!$B$40)*Hypothèses!$D$40*Scénarios!$E$24,0)</f>
        <v>2998.50694065665</v>
      </c>
      <c r="X25" s="57" t="n">
        <f aca="false">IF(AND(Hypothèses!$B$40&gt;0,X$4&gt;=Hypothèses!$B$40),Hypothèses!$C$40*(1+Hypothèses!$E$40)^(X$4-Hypothèses!$B$40)*Hypothèses!$D$40*Scénarios!$E$24,0)</f>
        <v>3238.38749590918</v>
      </c>
      <c r="Y25" s="57" t="n">
        <f aca="false">IF(AND(Hypothèses!$B$40&gt;0,Y$4&gt;=Hypothèses!$B$40),Hypothèses!$C$40*(1+Hypothèses!$E$40)^(Y$4-Hypothèses!$B$40)*Hypothèses!$D$40*Scénarios!$E$24,0)</f>
        <v>3497.45849558192</v>
      </c>
      <c r="Z25" s="57" t="n">
        <f aca="false">IF(AND(Hypothèses!$B$40&gt;0,Z$4&gt;=Hypothèses!$B$40),Hypothèses!$C$40*(1+Hypothèses!$E$40)^(Z$4-Hypothèses!$B$40)*Hypothèses!$D$40*Scénarios!$E$24,0)</f>
        <v>3777.25517522847</v>
      </c>
      <c r="AA25" s="57" t="n">
        <f aca="false">IF(AND(Hypothèses!$B$40&gt;0,AA$4&gt;=Hypothèses!$B$40),Hypothèses!$C$40*(1+Hypothèses!$E$40)^(AA$4-Hypothèses!$B$40)*Hypothèses!$D$40*Scénarios!$E$24,0)</f>
        <v>4079.43558924675</v>
      </c>
      <c r="AB25" s="57" t="n">
        <f aca="false">IF(AND(Hypothèses!$B$40&gt;0,AB$4&gt;=Hypothèses!$B$40),Hypothèses!$C$40*(1+Hypothèses!$E$40)^(AB$4-Hypothèses!$B$40)*Hypothèses!$D$40*Scénarios!$E$24,0)</f>
        <v>4405.79043638649</v>
      </c>
      <c r="AC25" s="57" t="n">
        <f aca="false">IF(AND(Hypothèses!$B$40&gt;0,AC$4&gt;=Hypothèses!$B$40),Hypothèses!$C$40*(1+Hypothèses!$E$40)^(AC$4-Hypothèses!$B$40)*Hypothèses!$D$40*Scénarios!$E$24,0)</f>
        <v>4758.25367129741</v>
      </c>
      <c r="AD25" s="57" t="n">
        <f aca="false">IF(AND(Hypothèses!$B$40&gt;0,AD$4&gt;=Hypothèses!$B$40),Hypothèses!$C$40*(1+Hypothèses!$E$40)^(AD$4-Hypothèses!$B$40)*Hypothèses!$D$40*Scénarios!$E$24,0)</f>
        <v>5138.9139650012</v>
      </c>
      <c r="AE25" s="57" t="n">
        <f aca="false">IF(AND(Hypothèses!$B$40&gt;0,AE$4&gt;=Hypothèses!$B$40),Hypothèses!$C$40*(1+Hypothèses!$E$40)^(AE$4-Hypothèses!$B$40)*Hypothèses!$D$40*Scénarios!$E$24,0)</f>
        <v>5550.0270822013</v>
      </c>
      <c r="AF25" s="57" t="n">
        <f aca="false">IF(AND(Hypothèses!$B$40&gt;0,AF$4&gt;=Hypothèses!$B$40),Hypothèses!$C$40*(1+Hypothèses!$E$40)^(AF$4-Hypothèses!$B$40)*Hypothèses!$D$40*Scénarios!$E$24,0)</f>
        <v>5994.0292487774</v>
      </c>
      <c r="AG25" s="57" t="n">
        <f aca="false">IF(AND(Hypothèses!$B$40&gt;0,AG$4&gt;=Hypothèses!$B$40),Hypothèses!$C$40*(1+Hypothèses!$E$40)^(AG$4-Hypothèses!$B$40)*Hypothèses!$D$40*Scénarios!$E$24,0)</f>
        <v>6473.55158867959</v>
      </c>
      <c r="AH25" s="57" t="n">
        <f aca="false">IF(AND(Hypothèses!$B$40&gt;0,AH$4&gt;=Hypothèses!$B$40),Hypothèses!$C$40*(1+Hypothèses!$E$40)^(AH$4-Hypothèses!$B$40)*Hypothèses!$D$40*Scénarios!$E$24,0)</f>
        <v>6991.43571577396</v>
      </c>
      <c r="AI25" s="57" t="n">
        <f aca="false">IF(AND(Hypothèses!$B$40&gt;0,AI$4&gt;=Hypothèses!$B$40),Hypothèses!$C$40*(1+Hypothèses!$E$40)^(AI$4-Hypothèses!$B$40)*Hypothèses!$D$40*Scénarios!$E$24,0)</f>
        <v>7550.75057303588</v>
      </c>
      <c r="AJ25" s="57" t="n">
        <f aca="false">IF(AND(Hypothèses!$B$40&gt;0,AJ$4&gt;=Hypothèses!$B$40),Hypothèses!$C$40*(1+Hypothèses!$E$40)^(AJ$4-Hypothèses!$B$40)*Hypothèses!$D$40*Scénarios!$E$24,0)</f>
        <v>8154.81061887875</v>
      </c>
      <c r="AK25" s="57" t="n">
        <f aca="false">IF(AND(Hypothèses!$B$40&gt;0,AK$4&gt;=Hypothèses!$B$40),Hypothèses!$C$40*(1+Hypothèses!$E$40)^(AK$4-Hypothèses!$B$40)*Hypothèses!$D$40*Scénarios!$E$24,0)</f>
        <v>8807.19546838905</v>
      </c>
      <c r="AL25" s="57" t="n">
        <f aca="false">IF(AND(Hypothèses!$B$40&gt;0,AL$4&gt;=Hypothèses!$B$40),Hypothèses!$C$40*(1+Hypothèses!$E$40)^(AL$4-Hypothèses!$B$40)*Hypothèses!$D$40*Scénarios!$E$24,0)</f>
        <v>9511.77110586018</v>
      </c>
    </row>
    <row r="26" customFormat="false" ht="15" hidden="false" customHeight="false" outlineLevel="0" collapsed="false">
      <c r="A26" s="13" t="str">
        <f aca="false">"API — "&amp;Hypothèses!$A$41</f>
        <v>API — Application partenaire 4</v>
      </c>
      <c r="B26" s="49" t="s">
        <v>200</v>
      </c>
      <c r="C26" s="57" t="n">
        <f aca="false">IF(AND(Hypothèses!$B$41&gt;0,C$4&gt;=Hypothèses!$B$41),Hypothèses!$C$41*(1+Hypothèses!$E$41)^(C$4-Hypothèses!$B$41)*Hypothèses!$D$41*Scénarios!$E$24,0)</f>
        <v>0</v>
      </c>
      <c r="D26" s="57" t="n">
        <f aca="false">IF(AND(Hypothèses!$B$41&gt;0,D$4&gt;=Hypothèses!$B$41),Hypothèses!$C$41*(1+Hypothèses!$E$41)^(D$4-Hypothèses!$B$41)*Hypothèses!$D$41*Scénarios!$E$24,0)</f>
        <v>0</v>
      </c>
      <c r="E26" s="57" t="n">
        <f aca="false">IF(AND(Hypothèses!$B$41&gt;0,E$4&gt;=Hypothèses!$B$41),Hypothèses!$C$41*(1+Hypothèses!$E$41)^(E$4-Hypothèses!$B$41)*Hypothèses!$D$41*Scénarios!$E$24,0)</f>
        <v>0</v>
      </c>
      <c r="F26" s="57" t="n">
        <f aca="false">IF(AND(Hypothèses!$B$41&gt;0,F$4&gt;=Hypothèses!$B$41),Hypothèses!$C$41*(1+Hypothèses!$E$41)^(F$4-Hypothèses!$B$41)*Hypothèses!$D$41*Scénarios!$E$24,0)</f>
        <v>0</v>
      </c>
      <c r="G26" s="57" t="n">
        <f aca="false">IF(AND(Hypothèses!$B$41&gt;0,G$4&gt;=Hypothèses!$B$41),Hypothèses!$C$41*(1+Hypothèses!$E$41)^(G$4-Hypothèses!$B$41)*Hypothèses!$D$41*Scénarios!$E$24,0)</f>
        <v>0</v>
      </c>
      <c r="H26" s="57" t="n">
        <f aca="false">IF(AND(Hypothèses!$B$41&gt;0,H$4&gt;=Hypothèses!$B$41),Hypothèses!$C$41*(1+Hypothèses!$E$41)^(H$4-Hypothèses!$B$41)*Hypothèses!$D$41*Scénarios!$E$24,0)</f>
        <v>0</v>
      </c>
      <c r="I26" s="57" t="n">
        <f aca="false">IF(AND(Hypothèses!$B$41&gt;0,I$4&gt;=Hypothèses!$B$41),Hypothèses!$C$41*(1+Hypothèses!$E$41)^(I$4-Hypothèses!$B$41)*Hypothèses!$D$41*Scénarios!$E$24,0)</f>
        <v>0</v>
      </c>
      <c r="J26" s="57" t="n">
        <f aca="false">IF(AND(Hypothèses!$B$41&gt;0,J$4&gt;=Hypothèses!$B$41),Hypothèses!$C$41*(1+Hypothèses!$E$41)^(J$4-Hypothèses!$B$41)*Hypothèses!$D$41*Scénarios!$E$24,0)</f>
        <v>0</v>
      </c>
      <c r="K26" s="57" t="n">
        <f aca="false">IF(AND(Hypothèses!$B$41&gt;0,K$4&gt;=Hypothèses!$B$41),Hypothèses!$C$41*(1+Hypothèses!$E$41)^(K$4-Hypothèses!$B$41)*Hypothèses!$D$41*Scénarios!$E$24,0)</f>
        <v>0</v>
      </c>
      <c r="L26" s="57" t="n">
        <f aca="false">IF(AND(Hypothèses!$B$41&gt;0,L$4&gt;=Hypothèses!$B$41),Hypothèses!$C$41*(1+Hypothèses!$E$41)^(L$4-Hypothèses!$B$41)*Hypothèses!$D$41*Scénarios!$E$24,0)</f>
        <v>0</v>
      </c>
      <c r="M26" s="57" t="n">
        <f aca="false">IF(AND(Hypothèses!$B$41&gt;0,M$4&gt;=Hypothèses!$B$41),Hypothèses!$C$41*(1+Hypothèses!$E$41)^(M$4-Hypothèses!$B$41)*Hypothèses!$D$41*Scénarios!$E$24,0)</f>
        <v>0</v>
      </c>
      <c r="N26" s="57" t="n">
        <f aca="false">IF(AND(Hypothèses!$B$41&gt;0,N$4&gt;=Hypothèses!$B$41),Hypothèses!$C$41*(1+Hypothèses!$E$41)^(N$4-Hypothèses!$B$41)*Hypothèses!$D$41*Scénarios!$E$24,0)</f>
        <v>0</v>
      </c>
      <c r="O26" s="57" t="n">
        <f aca="false">IF(AND(Hypothèses!$B$41&gt;0,O$4&gt;=Hypothèses!$B$41),Hypothèses!$C$41*(1+Hypothèses!$E$41)^(O$4-Hypothèses!$B$41)*Hypothèses!$D$41*Scénarios!$E$24,0)</f>
        <v>0</v>
      </c>
      <c r="P26" s="57" t="n">
        <f aca="false">IF(AND(Hypothèses!$B$41&gt;0,P$4&gt;=Hypothèses!$B$41),Hypothèses!$C$41*(1+Hypothèses!$E$41)^(P$4-Hypothèses!$B$41)*Hypothèses!$D$41*Scénarios!$E$24,0)</f>
        <v>0</v>
      </c>
      <c r="Q26" s="57" t="n">
        <f aca="false">IF(AND(Hypothèses!$B$41&gt;0,Q$4&gt;=Hypothèses!$B$41),Hypothèses!$C$41*(1+Hypothèses!$E$41)^(Q$4-Hypothèses!$B$41)*Hypothèses!$D$41*Scénarios!$E$24,0)</f>
        <v>0</v>
      </c>
      <c r="R26" s="57" t="n">
        <f aca="false">IF(AND(Hypothèses!$B$41&gt;0,R$4&gt;=Hypothèses!$B$41),Hypothèses!$C$41*(1+Hypothèses!$E$41)^(R$4-Hypothèses!$B$41)*Hypothèses!$D$41*Scénarios!$E$24,0)</f>
        <v>0</v>
      </c>
      <c r="S26" s="57" t="n">
        <f aca="false">IF(AND(Hypothèses!$B$41&gt;0,S$4&gt;=Hypothèses!$B$41),Hypothèses!$C$41*(1+Hypothèses!$E$41)^(S$4-Hypothèses!$B$41)*Hypothèses!$D$41*Scénarios!$E$24,0)</f>
        <v>0</v>
      </c>
      <c r="T26" s="57" t="n">
        <f aca="false">IF(AND(Hypothèses!$B$41&gt;0,T$4&gt;=Hypothèses!$B$41),Hypothèses!$C$41*(1+Hypothèses!$E$41)^(T$4-Hypothèses!$B$41)*Hypothèses!$D$41*Scénarios!$E$24,0)</f>
        <v>2000</v>
      </c>
      <c r="U26" s="57" t="n">
        <f aca="false">IF(AND(Hypothèses!$B$41&gt;0,U$4&gt;=Hypothèses!$B$41),Hypothèses!$C$41*(1+Hypothèses!$E$41)^(U$4-Hypothèses!$B$41)*Hypothèses!$D$41*Scénarios!$E$24,0)</f>
        <v>2160</v>
      </c>
      <c r="V26" s="57" t="n">
        <f aca="false">IF(AND(Hypothèses!$B$41&gt;0,V$4&gt;=Hypothèses!$B$41),Hypothèses!$C$41*(1+Hypothèses!$E$41)^(V$4-Hypothèses!$B$41)*Hypothèses!$D$41*Scénarios!$E$24,0)</f>
        <v>2332.8</v>
      </c>
      <c r="W26" s="57" t="n">
        <f aca="false">IF(AND(Hypothèses!$B$41&gt;0,W$4&gt;=Hypothèses!$B$41),Hypothèses!$C$41*(1+Hypothèses!$E$41)^(W$4-Hypothèses!$B$41)*Hypothèses!$D$41*Scénarios!$E$24,0)</f>
        <v>2519.424</v>
      </c>
      <c r="X26" s="57" t="n">
        <f aca="false">IF(AND(Hypothèses!$B$41&gt;0,X$4&gt;=Hypothèses!$B$41),Hypothèses!$C$41*(1+Hypothèses!$E$41)^(X$4-Hypothèses!$B$41)*Hypothèses!$D$41*Scénarios!$E$24,0)</f>
        <v>2720.97792</v>
      </c>
      <c r="Y26" s="57" t="n">
        <f aca="false">IF(AND(Hypothèses!$B$41&gt;0,Y$4&gt;=Hypothèses!$B$41),Hypothèses!$C$41*(1+Hypothèses!$E$41)^(Y$4-Hypothèses!$B$41)*Hypothèses!$D$41*Scénarios!$E$24,0)</f>
        <v>2938.6561536</v>
      </c>
      <c r="Z26" s="57" t="n">
        <f aca="false">IF(AND(Hypothèses!$B$41&gt;0,Z$4&gt;=Hypothèses!$B$41),Hypothèses!$C$41*(1+Hypothèses!$E$41)^(Z$4-Hypothèses!$B$41)*Hypothèses!$D$41*Scénarios!$E$24,0)</f>
        <v>3173.748645888</v>
      </c>
      <c r="AA26" s="57" t="n">
        <f aca="false">IF(AND(Hypothèses!$B$41&gt;0,AA$4&gt;=Hypothèses!$B$41),Hypothèses!$C$41*(1+Hypothèses!$E$41)^(AA$4-Hypothèses!$B$41)*Hypothèses!$D$41*Scénarios!$E$24,0)</f>
        <v>3427.64853755904</v>
      </c>
      <c r="AB26" s="57" t="n">
        <f aca="false">IF(AND(Hypothèses!$B$41&gt;0,AB$4&gt;=Hypothèses!$B$41),Hypothèses!$C$41*(1+Hypothèses!$E$41)^(AB$4-Hypothèses!$B$41)*Hypothèses!$D$41*Scénarios!$E$24,0)</f>
        <v>3701.86042056377</v>
      </c>
      <c r="AC26" s="57" t="n">
        <f aca="false">IF(AND(Hypothèses!$B$41&gt;0,AC$4&gt;=Hypothèses!$B$41),Hypothèses!$C$41*(1+Hypothèses!$E$41)^(AC$4-Hypothèses!$B$41)*Hypothèses!$D$41*Scénarios!$E$24,0)</f>
        <v>3998.00925420887</v>
      </c>
      <c r="AD26" s="57" t="n">
        <f aca="false">IF(AND(Hypothèses!$B$41&gt;0,AD$4&gt;=Hypothèses!$B$41),Hypothèses!$C$41*(1+Hypothèses!$E$41)^(AD$4-Hypothèses!$B$41)*Hypothèses!$D$41*Scénarios!$E$24,0)</f>
        <v>4317.84999454558</v>
      </c>
      <c r="AE26" s="57" t="n">
        <f aca="false">IF(AND(Hypothèses!$B$41&gt;0,AE$4&gt;=Hypothèses!$B$41),Hypothèses!$C$41*(1+Hypothèses!$E$41)^(AE$4-Hypothèses!$B$41)*Hypothèses!$D$41*Scénarios!$E$24,0)</f>
        <v>4663.27799410922</v>
      </c>
      <c r="AF26" s="57" t="n">
        <f aca="false">IF(AND(Hypothèses!$B$41&gt;0,AF$4&gt;=Hypothèses!$B$41),Hypothèses!$C$41*(1+Hypothèses!$E$41)^(AF$4-Hypothèses!$B$41)*Hypothèses!$D$41*Scénarios!$E$24,0)</f>
        <v>5036.34023363796</v>
      </c>
      <c r="AG26" s="57" t="n">
        <f aca="false">IF(AND(Hypothèses!$B$41&gt;0,AG$4&gt;=Hypothèses!$B$41),Hypothèses!$C$41*(1+Hypothèses!$E$41)^(AG$4-Hypothèses!$B$41)*Hypothèses!$D$41*Scénarios!$E$24,0)</f>
        <v>5439.247452329</v>
      </c>
      <c r="AH26" s="57" t="n">
        <f aca="false">IF(AND(Hypothèses!$B$41&gt;0,AH$4&gt;=Hypothèses!$B$41),Hypothèses!$C$41*(1+Hypothèses!$E$41)^(AH$4-Hypothèses!$B$41)*Hypothèses!$D$41*Scénarios!$E$24,0)</f>
        <v>5874.38724851532</v>
      </c>
      <c r="AI26" s="57" t="n">
        <f aca="false">IF(AND(Hypothèses!$B$41&gt;0,AI$4&gt;=Hypothèses!$B$41),Hypothèses!$C$41*(1+Hypothèses!$E$41)^(AI$4-Hypothèses!$B$41)*Hypothèses!$D$41*Scénarios!$E$24,0)</f>
        <v>6344.33822839654</v>
      </c>
      <c r="AJ26" s="57" t="n">
        <f aca="false">IF(AND(Hypothèses!$B$41&gt;0,AJ$4&gt;=Hypothèses!$B$41),Hypothèses!$C$41*(1+Hypothèses!$E$41)^(AJ$4-Hypothèses!$B$41)*Hypothèses!$D$41*Scénarios!$E$24,0)</f>
        <v>6851.88528666827</v>
      </c>
      <c r="AK26" s="57" t="n">
        <f aca="false">IF(AND(Hypothèses!$B$41&gt;0,AK$4&gt;=Hypothèses!$B$41),Hypothèses!$C$41*(1+Hypothèses!$E$41)^(AK$4-Hypothèses!$B$41)*Hypothèses!$D$41*Scénarios!$E$24,0)</f>
        <v>7400.03610960173</v>
      </c>
      <c r="AL26" s="57" t="n">
        <f aca="false">IF(AND(Hypothèses!$B$41&gt;0,AL$4&gt;=Hypothèses!$B$41),Hypothèses!$C$41*(1+Hypothèses!$E$41)^(AL$4-Hypothèses!$B$41)*Hypothèses!$D$41*Scénarios!$E$24,0)</f>
        <v>7992.03899836987</v>
      </c>
    </row>
    <row r="27" customFormat="false" ht="15" hidden="false" customHeight="false" outlineLevel="0" collapsed="false">
      <c r="A27" s="38" t="s">
        <v>202</v>
      </c>
      <c r="B27" s="49" t="s">
        <v>200</v>
      </c>
      <c r="C27" s="58" t="n">
        <f aca="false">SUM(C23:C26)</f>
        <v>800</v>
      </c>
      <c r="D27" s="58" t="n">
        <f aca="false">SUM(D23:D26)</f>
        <v>848</v>
      </c>
      <c r="E27" s="58" t="n">
        <f aca="false">SUM(E23:E26)</f>
        <v>898.88</v>
      </c>
      <c r="F27" s="58" t="n">
        <f aca="false">SUM(F23:F26)</f>
        <v>952.8128</v>
      </c>
      <c r="G27" s="58" t="n">
        <f aca="false">SUM(G23:G26)</f>
        <v>1009.981568</v>
      </c>
      <c r="H27" s="58" t="n">
        <f aca="false">SUM(H23:H26)</f>
        <v>2570.58046208</v>
      </c>
      <c r="I27" s="58" t="n">
        <f aca="false">SUM(I23:I26)</f>
        <v>2754.8152898048</v>
      </c>
      <c r="J27" s="58" t="n">
        <f aca="false">SUM(J23:J26)</f>
        <v>2952.50420719309</v>
      </c>
      <c r="K27" s="58" t="n">
        <f aca="false">SUM(K23:K26)</f>
        <v>3164.64645962467</v>
      </c>
      <c r="L27" s="58" t="n">
        <f aca="false">SUM(L23:L26)</f>
        <v>3392.31660720216</v>
      </c>
      <c r="M27" s="58" t="n">
        <f aca="false">SUM(M23:M26)</f>
        <v>3636.67027243428</v>
      </c>
      <c r="N27" s="58" t="n">
        <f aca="false">SUM(N23:N26)</f>
        <v>5398.95033108434</v>
      </c>
      <c r="O27" s="58" t="n">
        <f aca="false">SUM(O23:O26)</f>
        <v>5800.49358063772</v>
      </c>
      <c r="P27" s="58" t="n">
        <f aca="false">SUM(P23:P26)</f>
        <v>6232.33792353937</v>
      </c>
      <c r="Q27" s="58" t="n">
        <f aca="false">SUM(Q23:Q26)</f>
        <v>6696.79810526019</v>
      </c>
      <c r="R27" s="58" t="n">
        <f aca="false">SUM(R23:R26)</f>
        <v>7196.36749038894</v>
      </c>
      <c r="S27" s="58" t="n">
        <f aca="false">SUM(S23:S26)</f>
        <v>7733.73195853046</v>
      </c>
      <c r="T27" s="58" t="n">
        <f aca="false">SUM(T23:T26)</f>
        <v>10311.7848882579</v>
      </c>
      <c r="U27" s="58" t="n">
        <f aca="false">SUM(U23:U26)</f>
        <v>11093.6433147463</v>
      </c>
      <c r="V27" s="58" t="n">
        <f aca="false">SUM(V23:V26)</f>
        <v>11935.4653534794</v>
      </c>
      <c r="W27" s="58" t="n">
        <f aca="false">SUM(W23:W26)</f>
        <v>12841.8929897243</v>
      </c>
      <c r="X27" s="58" t="n">
        <f aca="false">SUM(X23:X26)</f>
        <v>13817.9302613469</v>
      </c>
      <c r="Y27" s="58" t="n">
        <f aca="false">SUM(Y23:Y26)</f>
        <v>14868.9716646459</v>
      </c>
      <c r="Z27" s="58" t="n">
        <f aca="false">SUM(Z23:Z26)</f>
        <v>16000.8327991523</v>
      </c>
      <c r="AA27" s="58" t="n">
        <f aca="false">SUM(AA23:AA26)</f>
        <v>17219.7834284993</v>
      </c>
      <c r="AB27" s="58" t="n">
        <f aca="false">SUM(AB23:AB26)</f>
        <v>18532.583148519</v>
      </c>
      <c r="AC27" s="58" t="n">
        <f aca="false">SUM(AC23:AC26)</f>
        <v>19946.5198688846</v>
      </c>
      <c r="AD27" s="58" t="n">
        <f aca="false">SUM(AD23:AD26)</f>
        <v>21469.4513309886</v>
      </c>
      <c r="AE27" s="58" t="n">
        <f aca="false">SUM(AE23:AE26)</f>
        <v>23109.8499024164</v>
      </c>
      <c r="AF27" s="58" t="n">
        <f aca="false">SUM(AF23:AF26)</f>
        <v>24876.8509074554</v>
      </c>
      <c r="AG27" s="58" t="n">
        <f aca="false">SUM(AG23:AG26)</f>
        <v>26780.3047736682</v>
      </c>
      <c r="AH27" s="58" t="n">
        <f aca="false">SUM(AH23:AH26)</f>
        <v>28830.833296795</v>
      </c>
      <c r="AI27" s="58" t="n">
        <f aca="false">SUM(AI23:AI26)</f>
        <v>31039.890350246</v>
      </c>
      <c r="AJ27" s="58" t="n">
        <f aca="false">SUM(AJ23:AJ26)</f>
        <v>33419.8273913555</v>
      </c>
      <c r="AK27" s="58" t="n">
        <f aca="false">SUM(AK23:AK26)</f>
        <v>35983.9641445392</v>
      </c>
      <c r="AL27" s="58" t="n">
        <f aca="false">SUM(AL23:AL26)</f>
        <v>38746.6648716901</v>
      </c>
    </row>
    <row r="28" customFormat="false" ht="15" hidden="false" customHeight="false" outlineLevel="0" collapsed="false">
      <c r="A28" s="13" t="s">
        <v>203</v>
      </c>
      <c r="B28" s="49" t="s">
        <v>200</v>
      </c>
      <c r="C28" s="57" t="n">
        <f aca="false">(C21+C22)*Hypothèses!$B$18</f>
        <v>7720.944</v>
      </c>
      <c r="D28" s="57" t="n">
        <f aca="false">(D21+D22)*Hypothèses!$B$18</f>
        <v>11156.47728</v>
      </c>
      <c r="E28" s="57" t="n">
        <f aca="false">(E21+E22)*Hypothèses!$B$18</f>
        <v>14782.3174896</v>
      </c>
      <c r="F28" s="57" t="n">
        <f aca="false">(F21+F22)*Hypothèses!$B$18</f>
        <v>18616.225255152</v>
      </c>
      <c r="G28" s="57" t="n">
        <f aca="false">(G21+G22)*Hypothèses!$B$18</f>
        <v>22677.3059709566</v>
      </c>
      <c r="H28" s="57" t="n">
        <f aca="false">(H21+H22)*Hypothèses!$B$18</f>
        <v>26986.1196631639</v>
      </c>
      <c r="I28" s="57" t="n">
        <f aca="false">(I21+I22)*Hypothèses!$B$18</f>
        <v>31564.7995743118</v>
      </c>
      <c r="J28" s="57" t="n">
        <f aca="false">(J21+J22)*Hypothèses!$B$18</f>
        <v>36437.1801682087</v>
      </c>
      <c r="K28" s="57" t="n">
        <f aca="false">(K21+K22)*Hypothèses!$B$18</f>
        <v>41628.9353107787</v>
      </c>
      <c r="L28" s="57" t="n">
        <f aca="false">(L21+L22)*Hypothèses!$B$18</f>
        <v>47167.727442881</v>
      </c>
      <c r="M28" s="57" t="n">
        <f aca="false">(M21+M22)*Hypothèses!$B$18</f>
        <v>53083.3686263343</v>
      </c>
      <c r="N28" s="57" t="n">
        <f aca="false">(N21+N22)*Hypothèses!$B$18</f>
        <v>59407.9944148231</v>
      </c>
      <c r="O28" s="57" t="n">
        <f aca="false">(O21+O22)*Hypothèses!$B$18</f>
        <v>65859.5665035485</v>
      </c>
      <c r="P28" s="57" t="n">
        <f aca="false">(P21+P22)*Hypothèses!$B$18</f>
        <v>72446.9439064588</v>
      </c>
      <c r="Q28" s="57" t="n">
        <f aca="false">(Q21+Q22)*Hypothèses!$B$18</f>
        <v>79179.2265632026</v>
      </c>
      <c r="R28" s="57" t="n">
        <f aca="false">(R21+R22)*Hypothèses!$B$18</f>
        <v>86065.7683792015</v>
      </c>
      <c r="S28" s="57" t="n">
        <f aca="false">(S21+S22)*Hypothèses!$B$18</f>
        <v>93116.1906852363</v>
      </c>
      <c r="T28" s="57" t="n">
        <f aca="false">(T21+T22)*Hypothèses!$B$18</f>
        <v>100340.396136386</v>
      </c>
      <c r="U28" s="57" t="n">
        <f aca="false">(U21+U22)*Hypothèses!$B$18</f>
        <v>107748.58307087</v>
      </c>
      <c r="V28" s="57" t="n">
        <f aca="false">(V21+V22)*Hypothèses!$B$18</f>
        <v>115351.260350063</v>
      </c>
      <c r="W28" s="57" t="n">
        <f aca="false">(W21+W22)*Hypothèses!$B$18</f>
        <v>123159.262701732</v>
      </c>
      <c r="X28" s="57" t="n">
        <f aca="false">(X21+X22)*Hypothèses!$B$18</f>
        <v>131183.766589338</v>
      </c>
      <c r="Y28" s="57" t="n">
        <f aca="false">(Y21+Y22)*Hypothèses!$B$18</f>
        <v>139436.306631063</v>
      </c>
      <c r="Z28" s="57" t="n">
        <f aca="false">(Z21+Z22)*Hypothèses!$B$18</f>
        <v>147928.792593111</v>
      </c>
      <c r="AA28" s="57" t="n">
        <f aca="false">(AA21+AA22)*Hypothèses!$B$18</f>
        <v>156673.526982738</v>
      </c>
      <c r="AB28" s="57" t="n">
        <f aca="false">(AB21+AB22)*Hypothèses!$B$18</f>
        <v>165683.223267373</v>
      </c>
      <c r="AC28" s="57" t="n">
        <f aca="false">(AC21+AC22)*Hypothèses!$B$18</f>
        <v>174971.024747233</v>
      </c>
      <c r="AD28" s="57" t="n">
        <f aca="false">(AD21+AD22)*Hypothèses!$B$18</f>
        <v>184550.524109812</v>
      </c>
      <c r="AE28" s="57" t="n">
        <f aca="false">(AE21+AE22)*Hypothèses!$B$18</f>
        <v>194435.783695714</v>
      </c>
      <c r="AF28" s="57" t="n">
        <f aca="false">(AF21+AF22)*Hypothèses!$B$18</f>
        <v>204641.356506407</v>
      </c>
      <c r="AG28" s="57" t="n">
        <f aca="false">(AG21+AG22)*Hypothèses!$B$18</f>
        <v>215182.307985642</v>
      </c>
      <c r="AH28" s="57" t="n">
        <f aca="false">(AH21+AH22)*Hypothèses!$B$18</f>
        <v>226074.238607477</v>
      </c>
      <c r="AI28" s="57" t="n">
        <f aca="false">(AI21+AI22)*Hypothèses!$B$18</f>
        <v>237333.307305112</v>
      </c>
      <c r="AJ28" s="57" t="n">
        <f aca="false">(AJ21+AJ22)*Hypothèses!$B$18</f>
        <v>248976.255776054</v>
      </c>
      <c r="AK28" s="57" t="n">
        <f aca="false">(AK21+AK22)*Hypothèses!$B$18</f>
        <v>261020.43370047</v>
      </c>
      <c r="AL28" s="57" t="n">
        <f aca="false">(AL21+AL22)*Hypothèses!$B$18</f>
        <v>273483.824911062</v>
      </c>
    </row>
    <row r="29" customFormat="false" ht="15" hidden="false" customHeight="false" outlineLevel="0" collapsed="false">
      <c r="A29" s="13" t="s">
        <v>204</v>
      </c>
      <c r="B29" s="49" t="s">
        <v>200</v>
      </c>
      <c r="C29" s="57" t="n">
        <f aca="false">C15*Hypothèses!$B$22</f>
        <v>11700</v>
      </c>
      <c r="D29" s="57" t="n">
        <f aca="false">D15*Hypothèses!$B$22</f>
        <v>17595</v>
      </c>
      <c r="E29" s="57" t="n">
        <f aca="false">E15*Hypothèses!$B$22</f>
        <v>23713.65</v>
      </c>
      <c r="F29" s="57" t="n">
        <f aca="false">F15*Hypothèses!$B$22</f>
        <v>30086.2395</v>
      </c>
      <c r="G29" s="57" t="n">
        <f aca="false">G15*Hypothèses!$B$22</f>
        <v>36744.861285</v>
      </c>
      <c r="H29" s="57" t="n">
        <f aca="false">H15*Hypothèses!$B$22</f>
        <v>43723.58668155</v>
      </c>
      <c r="I29" s="57" t="n">
        <f aca="false">I15*Hypothèses!$B$22</f>
        <v>51058.6532851365</v>
      </c>
      <c r="J29" s="57" t="n">
        <f aca="false">J15*Hypothèses!$B$22</f>
        <v>58788.6662335568</v>
      </c>
      <c r="K29" s="57" t="n">
        <f aca="false">K15*Hypothèses!$B$22</f>
        <v>66954.8141835703</v>
      </c>
      <c r="L29" s="57" t="n">
        <f aca="false">L15*Hypothèses!$B$22</f>
        <v>75601.1012370183</v>
      </c>
      <c r="M29" s="57" t="n">
        <f aca="false">M15*Hypothèses!$B$22</f>
        <v>84774.5961588041</v>
      </c>
      <c r="N29" s="57" t="n">
        <f aca="false">N15*Hypothèses!$B$22</f>
        <v>94525.7003331916</v>
      </c>
      <c r="O29" s="57" t="n">
        <f aca="false">O15*Hypothèses!$B$22</f>
        <v>104348.842658153</v>
      </c>
      <c r="P29" s="57" t="n">
        <f aca="false">P15*Hypothèses!$B$22</f>
        <v>114262.804960531</v>
      </c>
      <c r="Q29" s="57" t="n">
        <f aca="false">Q15*Hypothèses!$B$22</f>
        <v>124286.325325201</v>
      </c>
      <c r="R29" s="57" t="n">
        <f aca="false">R15*Hypothèses!$B$22</f>
        <v>134438.136096146</v>
      </c>
      <c r="S29" s="57" t="n">
        <f aca="false">S15*Hypothèses!$B$22</f>
        <v>144737.001410032</v>
      </c>
      <c r="T29" s="57" t="n">
        <f aca="false">T15*Hypothèses!$B$22</f>
        <v>155201.754342971</v>
      </c>
      <c r="U29" s="57" t="n">
        <f aca="false">U15*Hypothèses!$B$22</f>
        <v>165851.333749401</v>
      </c>
      <c r="V29" s="57" t="n">
        <f aca="false">V15*Hypothèses!$B$22</f>
        <v>176704.820870453</v>
      </c>
      <c r="W29" s="57" t="n">
        <f aca="false">W15*Hypothèses!$B$22</f>
        <v>187781.475787792</v>
      </c>
      <c r="X29" s="57" t="n">
        <f aca="false">X15*Hypothèses!$B$22</f>
        <v>199100.7737977</v>
      </c>
      <c r="Y29" s="57" t="n">
        <f aca="false">Y15*Hypothèses!$B$22</f>
        <v>210682.441779084</v>
      </c>
      <c r="Z29" s="57" t="n">
        <f aca="false">Z15*Hypothèses!$B$22</f>
        <v>222546.494628249</v>
      </c>
      <c r="AA29" s="57" t="n">
        <f aca="false">AA15*Hypothèses!$B$22</f>
        <v>234713.271832481</v>
      </c>
      <c r="AB29" s="57" t="n">
        <f aca="false">AB15*Hypothèses!$B$22</f>
        <v>247203.474253927</v>
      </c>
      <c r="AC29" s="57" t="n">
        <f aca="false">AC15*Hypothèses!$B$22</f>
        <v>260038.201194824</v>
      </c>
      <c r="AD29" s="57" t="n">
        <f aca="false">AD15*Hypothèses!$B$22</f>
        <v>273238.987814819</v>
      </c>
      <c r="AE29" s="57" t="n">
        <f aca="false">AE15*Hypothèses!$B$22</f>
        <v>286827.842971004</v>
      </c>
      <c r="AF29" s="57" t="n">
        <f aca="false">AF15*Hypothèses!$B$22</f>
        <v>300827.287551257</v>
      </c>
      <c r="AG29" s="57" t="n">
        <f aca="false">AG15*Hypothèses!$B$22</f>
        <v>315260.39337165</v>
      </c>
      <c r="AH29" s="57" t="n">
        <f aca="false">AH15*Hypothèses!$B$22</f>
        <v>330150.822708941</v>
      </c>
      <c r="AI29" s="57" t="n">
        <f aca="false">AI15*Hypothèses!$B$22</f>
        <v>345522.868539602</v>
      </c>
      <c r="AJ29" s="57" t="n">
        <f aca="false">AJ15*Hypothèses!$B$22</f>
        <v>361401.495557375</v>
      </c>
      <c r="AK29" s="57" t="n">
        <f aca="false">AK15*Hypothèses!$B$22</f>
        <v>377812.382042049</v>
      </c>
      <c r="AL29" s="57" t="n">
        <f aca="false">AL15*Hypothèses!$B$22</f>
        <v>394781.962652991</v>
      </c>
    </row>
    <row r="30" customFormat="false" ht="15" hidden="false" customHeight="false" outlineLevel="0" collapsed="false">
      <c r="A30" s="54" t="s">
        <v>205</v>
      </c>
      <c r="B30" s="55" t="s">
        <v>200</v>
      </c>
      <c r="C30" s="39" t="n">
        <f aca="false">C21+C22+C27+C29</f>
        <v>25368.24</v>
      </c>
      <c r="D30" s="39" t="n">
        <f aca="false">D21+D22+D27+D29</f>
        <v>37037.1288</v>
      </c>
      <c r="E30" s="39" t="n">
        <f aca="false">E21+E22+E27+E29</f>
        <v>49249.725816</v>
      </c>
      <c r="F30" s="39" t="n">
        <f aca="false">F21+F22+F27+F29</f>
        <v>62066.09439192</v>
      </c>
      <c r="G30" s="39" t="n">
        <f aca="false">G21+G22+G27+G29</f>
        <v>75550.3528045944</v>
      </c>
      <c r="H30" s="39" t="n">
        <f aca="false">H21+H22+H27+H29</f>
        <v>91271.0332489031</v>
      </c>
      <c r="I30" s="39" t="n">
        <f aca="false">I21+I22+I27+I29</f>
        <v>106421.467865461</v>
      </c>
      <c r="J30" s="39" t="n">
        <f aca="false">J21+J22+J27+J29</f>
        <v>122469.804054431</v>
      </c>
      <c r="K30" s="39" t="n">
        <f aca="false">K21+K22+K27+K29</f>
        <v>139501.019494493</v>
      </c>
      <c r="L30" s="39" t="n">
        <f aca="false">L21+L22+L27+L29</f>
        <v>157606.296915689</v>
      </c>
      <c r="M30" s="39" t="n">
        <f aca="false">M21+M22+M27+M29</f>
        <v>176883.547475129</v>
      </c>
      <c r="N30" s="39" t="n">
        <f aca="false">N21+N22+N27+N29</f>
        <v>198937.974688981</v>
      </c>
      <c r="O30" s="39" t="n">
        <f aca="false">O21+O22+O27+O29</f>
        <v>219915.280411371</v>
      </c>
      <c r="P30" s="39" t="n">
        <f aca="false">P21+P22+P27+P29</f>
        <v>241240.049394835</v>
      </c>
      <c r="Q30" s="39" t="n">
        <f aca="false">Q21+Q22+Q27+Q29</f>
        <v>262948.501035799</v>
      </c>
      <c r="R30" s="39" t="n">
        <f aca="false">R21+R22+R27+R29</f>
        <v>285077.450885204</v>
      </c>
      <c r="S30" s="39" t="n">
        <f aca="false">S21+S22+S27+S29</f>
        <v>307664.384510623</v>
      </c>
      <c r="T30" s="39" t="n">
        <f aca="false">T21+T22+T27+T29</f>
        <v>332747.532791873</v>
      </c>
      <c r="U30" s="39" t="n">
        <f aca="false">U21+U22+U27+U29</f>
        <v>356525.948848931</v>
      </c>
      <c r="V30" s="39" t="n">
        <f aca="false">V21+V22+V27+V29</f>
        <v>380892.38680737</v>
      </c>
      <c r="W30" s="39" t="n">
        <f aca="false">W21+W22+W27+W29</f>
        <v>405888.806613737</v>
      </c>
      <c r="X30" s="39" t="n">
        <f aca="false">X21+X22+X27+X29</f>
        <v>431558.315041277</v>
      </c>
      <c r="Y30" s="39" t="n">
        <f aca="false">Y21+Y22+Y27+Y29</f>
        <v>457945.257828834</v>
      </c>
      <c r="Z30" s="39" t="n">
        <f aca="false">Z21+Z22+Z27+Z29</f>
        <v>485095.315082587</v>
      </c>
      <c r="AA30" s="39" t="n">
        <f aca="false">AA21+AA22+AA27+AA29</f>
        <v>513055.60023221</v>
      </c>
      <c r="AB30" s="39" t="n">
        <f aca="false">AB21+AB22+AB27+AB29</f>
        <v>541874.762848067</v>
      </c>
      <c r="AC30" s="39" t="n">
        <f aca="false">AC21+AC22+AC27+AC29</f>
        <v>571603.095642429</v>
      </c>
      <c r="AD30" s="39" t="n">
        <f aca="false">AD21+AD22+AD27+AD29</f>
        <v>602292.645995495</v>
      </c>
      <c r="AE30" s="39" t="n">
        <f aca="false">AE21+AE22+AE27+AE29</f>
        <v>633997.332366278</v>
      </c>
      <c r="AF30" s="39" t="n">
        <f aca="false">AF21+AF22+AF27+AF29</f>
        <v>666773.065969391</v>
      </c>
      <c r="AG30" s="39" t="n">
        <f aca="false">AG21+AG22+AG27+AG29</f>
        <v>700677.878121388</v>
      </c>
      <c r="AH30" s="39" t="n">
        <f aca="false">AH21+AH22+AH27+AH29</f>
        <v>735772.053684864</v>
      </c>
      <c r="AI30" s="39" t="n">
        <f aca="false">AI21+AI22+AI27+AI29</f>
        <v>772118.271065036</v>
      </c>
      <c r="AJ30" s="39" t="n">
        <f aca="false">AJ21+AJ22+AJ27+AJ29</f>
        <v>809781.749242153</v>
      </c>
      <c r="AK30" s="39" t="n">
        <f aca="false">AK21+AK22+AK27+AK29</f>
        <v>848830.402354039</v>
      </c>
      <c r="AL30" s="39" t="n">
        <f aca="false">AL21+AL22+AL27+AL29</f>
        <v>889335.002376452</v>
      </c>
    </row>
    <row r="32" customFormat="false" ht="15" hidden="false" customHeight="false" outlineLevel="0" collapsed="false">
      <c r="A32" s="19" t="s">
        <v>206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customFormat="false" ht="15" hidden="false" customHeight="false" outlineLevel="0" collapsed="false">
      <c r="A33" s="13" t="s">
        <v>207</v>
      </c>
      <c r="B33" s="49" t="s">
        <v>200</v>
      </c>
      <c r="C33" s="57" t="n">
        <f aca="false">C21*Hypothèses!$B$16</f>
        <v>304.75</v>
      </c>
      <c r="D33" s="57" t="n">
        <f aca="false">D21*Hypothèses!$B$16</f>
        <v>441.4075</v>
      </c>
      <c r="E33" s="57" t="n">
        <f aca="false">E21*Hypothèses!$B$16</f>
        <v>585.629275</v>
      </c>
      <c r="F33" s="57" t="n">
        <f aca="false">F21*Hypothèses!$B$16</f>
        <v>738.12151675</v>
      </c>
      <c r="G33" s="57" t="n">
        <f aca="false">G21*Hypothèses!$B$16</f>
        <v>899.6438808475</v>
      </c>
      <c r="H33" s="57" t="n">
        <f aca="false">H21*Hypothèses!$B$16</f>
        <v>1071.01385479008</v>
      </c>
      <c r="I33" s="57" t="n">
        <f aca="false">I21*Hypothèses!$B$16</f>
        <v>1253.11147274381</v>
      </c>
      <c r="J33" s="57" t="n">
        <f aca="false">J21*Hypothèses!$B$16</f>
        <v>1446.88440484673</v>
      </c>
      <c r="K33" s="57" t="n">
        <f aca="false">K21*Hypothèses!$B$16</f>
        <v>1653.35345108939</v>
      </c>
      <c r="L33" s="57" t="n">
        <f aca="false">L21*Hypothèses!$B$16</f>
        <v>1873.6184722158</v>
      </c>
      <c r="M33" s="57" t="n">
        <f aca="false">M21*Hypothèses!$B$16</f>
        <v>2108.86479268116</v>
      </c>
      <c r="N33" s="57" t="n">
        <f aca="false">N21*Hypothèses!$B$16</f>
        <v>2360.37011350309</v>
      </c>
      <c r="O33" s="57" t="n">
        <f aca="false">O21*Hypothèses!$B$16</f>
        <v>2616.92112528447</v>
      </c>
      <c r="P33" s="57" t="n">
        <f aca="false">P21*Hypothèses!$B$16</f>
        <v>2878.87009131986</v>
      </c>
      <c r="Q33" s="57" t="n">
        <f aca="false">Q21*Hypothèses!$B$16</f>
        <v>3146.57885236595</v>
      </c>
      <c r="R33" s="57" t="n">
        <f aca="false">R21*Hypothèses!$B$16</f>
        <v>3420.41934513208</v>
      </c>
      <c r="S33" s="57" t="n">
        <f aca="false">S21*Hypothèses!$B$16</f>
        <v>3700.77413744871</v>
      </c>
      <c r="T33" s="57" t="n">
        <f aca="false">T21*Hypothèses!$B$16</f>
        <v>3988.03698090267</v>
      </c>
      <c r="U33" s="57" t="n">
        <f aca="false">U21*Hypothèses!$B$16</f>
        <v>4282.61338175611</v>
      </c>
      <c r="V33" s="57" t="n">
        <f aca="false">V21*Hypothèses!$B$16</f>
        <v>4584.92119099516</v>
      </c>
      <c r="W33" s="57" t="n">
        <f aca="false">W21*Hypothèses!$B$16</f>
        <v>4895.39121438471</v>
      </c>
      <c r="X33" s="57" t="n">
        <f aca="false">X21*Hypothèses!$B$16</f>
        <v>5214.46784343735</v>
      </c>
      <c r="Y33" s="57" t="n">
        <f aca="false">Y21*Hypothèses!$B$16</f>
        <v>5542.60970823778</v>
      </c>
      <c r="Z33" s="57" t="n">
        <f aca="false">Z21*Hypothèses!$B$16</f>
        <v>5880.29035309834</v>
      </c>
      <c r="AA33" s="57" t="n">
        <f aca="false">AA21*Hypothèses!$B$16</f>
        <v>6227.99893605738</v>
      </c>
      <c r="AB33" s="57" t="n">
        <f aca="false">AB21*Hypothèses!$B$16</f>
        <v>6586.24095326974</v>
      </c>
      <c r="AC33" s="57" t="n">
        <f aca="false">AC21*Hypothèses!$B$16</f>
        <v>6955.53898937749</v>
      </c>
      <c r="AD33" s="57" t="n">
        <f aca="false">AD21*Hypothèses!$B$16</f>
        <v>7336.43349499024</v>
      </c>
      <c r="AE33" s="57" t="n">
        <f aca="false">AE21*Hypothèses!$B$16</f>
        <v>7729.48359244637</v>
      </c>
      <c r="AF33" s="57" t="n">
        <f aca="false">AF21*Hypothèses!$B$16</f>
        <v>8135.26791107105</v>
      </c>
      <c r="AG33" s="57" t="n">
        <f aca="false">AG21*Hypothèses!$B$16</f>
        <v>8554.38545319292</v>
      </c>
      <c r="AH33" s="57" t="n">
        <f aca="false">AH21*Hypothèses!$B$16</f>
        <v>8987.45649222928</v>
      </c>
      <c r="AI33" s="57" t="n">
        <f aca="false">AI21*Hypothèses!$B$16</f>
        <v>9435.12350419985</v>
      </c>
      <c r="AJ33" s="57" t="n">
        <f aca="false">AJ21*Hypothèses!$B$16</f>
        <v>9898.05213408079</v>
      </c>
      <c r="AK33" s="57" t="n">
        <f aca="false">AK21*Hypothèses!$B$16</f>
        <v>10376.9321984656</v>
      </c>
      <c r="AL33" s="57" t="n">
        <f aca="false">AL21*Hypothèses!$B$16</f>
        <v>10872.4787260551</v>
      </c>
    </row>
    <row r="34" customFormat="false" ht="15" hidden="false" customHeight="false" outlineLevel="0" collapsed="false">
      <c r="A34" s="13" t="s">
        <v>208</v>
      </c>
      <c r="B34" s="49" t="s">
        <v>200</v>
      </c>
      <c r="C34" s="57" t="n">
        <f aca="false">C22*Hypothèses!$B$16</f>
        <v>16.956</v>
      </c>
      <c r="D34" s="57" t="n">
        <f aca="false">D22*Hypothèses!$B$16</f>
        <v>23.44572</v>
      </c>
      <c r="E34" s="57" t="n">
        <f aca="false">E22*Hypothèses!$B$16</f>
        <v>30.3006204</v>
      </c>
      <c r="F34" s="57" t="n">
        <f aca="false">F22*Hypothèses!$B$16</f>
        <v>37.554535548</v>
      </c>
      <c r="G34" s="57" t="n">
        <f aca="false">G22*Hypothèses!$B$16</f>
        <v>45.24386794236</v>
      </c>
      <c r="H34" s="57" t="n">
        <f aca="false">H22*Hypothèses!$B$16</f>
        <v>53.4077978417532</v>
      </c>
      <c r="I34" s="57" t="n">
        <f aca="false">I22*Hypothèses!$B$16</f>
        <v>62.0885095191777</v>
      </c>
      <c r="J34" s="57" t="n">
        <f aca="false">J22*Hypothèses!$B$16</f>
        <v>71.3314354952937</v>
      </c>
      <c r="K34" s="57" t="n">
        <f aca="false">K22*Hypothèses!$B$16</f>
        <v>81.1855201930615</v>
      </c>
      <c r="L34" s="57" t="n">
        <f aca="false">L22*Hypothèses!$B$16</f>
        <v>91.7035045709064</v>
      </c>
      <c r="M34" s="57" t="n">
        <f aca="false">M22*Hypothèses!$B$16</f>
        <v>102.942233416107</v>
      </c>
      <c r="N34" s="57" t="n">
        <f aca="false">N22*Hypothèses!$B$16</f>
        <v>114.962987114538</v>
      </c>
      <c r="O34" s="57" t="n">
        <f aca="false">O22*Hypothèses!$B$16</f>
        <v>127.227479030052</v>
      </c>
      <c r="P34" s="57" t="n">
        <f aca="false">P22*Hypothèses!$B$16</f>
        <v>139.752571449259</v>
      </c>
      <c r="Q34" s="57" t="n">
        <f aca="false">Q22*Hypothèses!$B$16</f>
        <v>152.555587767494</v>
      </c>
      <c r="R34" s="57" t="n">
        <f aca="false">R22*Hypothèses!$B$16</f>
        <v>165.65433733465</v>
      </c>
      <c r="S34" s="57" t="n">
        <f aca="false">S22*Hypothèses!$B$16</f>
        <v>179.067141102799</v>
      </c>
      <c r="T34" s="57" t="n">
        <f aca="false">T22*Hypothèses!$B$16</f>
        <v>192.812858113431</v>
      </c>
      <c r="U34" s="57" t="n">
        <f aca="false">U22*Hypothèses!$B$16</f>
        <v>206.910912863493</v>
      </c>
      <c r="V34" s="57" t="n">
        <f aca="false">V22*Hypothèses!$B$16</f>
        <v>221.381323590792</v>
      </c>
      <c r="W34" s="57" t="n">
        <f aca="false">W22*Hypothèses!$B$16</f>
        <v>236.244731520799</v>
      </c>
      <c r="X34" s="57" t="n">
        <f aca="false">X22*Hypothèses!$B$16</f>
        <v>251.522431118416</v>
      </c>
      <c r="Y34" s="57" t="n">
        <f aca="false">Y22*Hypothèses!$B$16</f>
        <v>267.236401389834</v>
      </c>
      <c r="Z34" s="57" t="n">
        <f aca="false">Z22*Hypothèses!$B$16</f>
        <v>283.409338281308</v>
      </c>
      <c r="AA34" s="57" t="n">
        <f aca="false">AA22*Hypothèses!$B$16</f>
        <v>300.064688223365</v>
      </c>
      <c r="AB34" s="57" t="n">
        <f aca="false">AB22*Hypothèses!$B$16</f>
        <v>317.22668287078</v>
      </c>
      <c r="AC34" s="57" t="n">
        <f aca="false">AC22*Hypothèses!$B$16</f>
        <v>334.920375090537</v>
      </c>
      <c r="AD34" s="57" t="n">
        <f aca="false">AD22*Hypothèses!$B$16</f>
        <v>353.171676251936</v>
      </c>
      <c r="AE34" s="57" t="n">
        <f aca="false">AE22*Hypothèses!$B$16</f>
        <v>372.007394875058</v>
      </c>
      <c r="AF34" s="57" t="n">
        <f aca="false">AF22*Hypothèses!$B$16</f>
        <v>391.455276695914</v>
      </c>
      <c r="AG34" s="57" t="n">
        <f aca="false">AG22*Hypothèses!$B$16</f>
        <v>411.544046208828</v>
      </c>
      <c r="AH34" s="57" t="n">
        <f aca="false">AH22*Hypothèses!$B$16</f>
        <v>432.303449748907</v>
      </c>
      <c r="AI34" s="57" t="n">
        <f aca="false">AI22*Hypothèses!$B$16</f>
        <v>453.764300179837</v>
      </c>
      <c r="AJ34" s="57" t="n">
        <f aca="false">AJ22*Hypothèses!$B$16</f>
        <v>475.958523254775</v>
      </c>
      <c r="AK34" s="57" t="n">
        <f aca="false">AK22*Hypothèses!$B$16</f>
        <v>498.919205720678</v>
      </c>
      <c r="AL34" s="57" t="n">
        <f aca="false">AL22*Hypothèses!$B$16</f>
        <v>522.680645239146</v>
      </c>
    </row>
    <row r="35" customFormat="false" ht="15" hidden="false" customHeight="false" outlineLevel="0" collapsed="false">
      <c r="A35" s="13" t="s">
        <v>209</v>
      </c>
      <c r="B35" s="49" t="s">
        <v>200</v>
      </c>
      <c r="C35" s="57" t="n">
        <f aca="false">C23*Hypothèses!$F$38+C24*Hypothèses!$F$39+C25*Hypothèses!$F$40+C26*Hypothèses!$F$41</f>
        <v>20</v>
      </c>
      <c r="D35" s="57" t="n">
        <f aca="false">D23*Hypothèses!$F$38+D24*Hypothèses!$F$39+D25*Hypothèses!$F$40+D26*Hypothèses!$F$41</f>
        <v>21.2</v>
      </c>
      <c r="E35" s="57" t="n">
        <f aca="false">E23*Hypothèses!$F$38+E24*Hypothèses!$F$39+E25*Hypothèses!$F$40+E26*Hypothèses!$F$41</f>
        <v>22.472</v>
      </c>
      <c r="F35" s="57" t="n">
        <f aca="false">F23*Hypothèses!$F$38+F24*Hypothèses!$F$39+F25*Hypothèses!$F$40+F26*Hypothèses!$F$41</f>
        <v>23.82032</v>
      </c>
      <c r="G35" s="57" t="n">
        <f aca="false">G23*Hypothèses!$F$38+G24*Hypothèses!$F$39+G25*Hypothèses!$F$40+G26*Hypothèses!$F$41</f>
        <v>25.2495392</v>
      </c>
      <c r="H35" s="57" t="n">
        <f aca="false">H23*Hypothèses!$F$38+H24*Hypothèses!$F$39+H25*Hypothèses!$F$40+H26*Hypothèses!$F$41</f>
        <v>64.264511552</v>
      </c>
      <c r="I35" s="57" t="n">
        <f aca="false">I23*Hypothèses!$F$38+I24*Hypothèses!$F$39+I25*Hypothèses!$F$40+I26*Hypothèses!$F$41</f>
        <v>68.87038224512</v>
      </c>
      <c r="J35" s="57" t="n">
        <f aca="false">J23*Hypothèses!$F$38+J24*Hypothèses!$F$39+J25*Hypothèses!$F$40+J26*Hypothèses!$F$41</f>
        <v>73.8126051798272</v>
      </c>
      <c r="K35" s="57" t="n">
        <f aca="false">K23*Hypothèses!$F$38+K24*Hypothèses!$F$39+K25*Hypothèses!$F$40+K26*Hypothèses!$F$41</f>
        <v>79.1161614906169</v>
      </c>
      <c r="L35" s="57" t="n">
        <f aca="false">L23*Hypothèses!$F$38+L24*Hypothèses!$F$39+L25*Hypothèses!$F$40+L26*Hypothèses!$F$41</f>
        <v>84.8079151800539</v>
      </c>
      <c r="M35" s="57" t="n">
        <f aca="false">M23*Hypothèses!$F$38+M24*Hypothèses!$F$39+M25*Hypothèses!$F$40+M26*Hypothèses!$F$41</f>
        <v>90.9167568108571</v>
      </c>
      <c r="N35" s="57" t="n">
        <f aca="false">N23*Hypothèses!$F$38+N24*Hypothèses!$F$39+N25*Hypothèses!$F$40+N26*Hypothèses!$F$41</f>
        <v>134.973758277109</v>
      </c>
      <c r="O35" s="57" t="n">
        <f aca="false">O23*Hypothèses!$F$38+O24*Hypothèses!$F$39+O25*Hypothèses!$F$40+O26*Hypothèses!$F$41</f>
        <v>145.012339515943</v>
      </c>
      <c r="P35" s="57" t="n">
        <f aca="false">P23*Hypothèses!$F$38+P24*Hypothèses!$F$39+P25*Hypothèses!$F$40+P26*Hypothèses!$F$41</f>
        <v>155.808448088484</v>
      </c>
      <c r="Q35" s="57" t="n">
        <f aca="false">Q23*Hypothèses!$F$38+Q24*Hypothèses!$F$39+Q25*Hypothèses!$F$40+Q26*Hypothèses!$F$41</f>
        <v>167.419952631505</v>
      </c>
      <c r="R35" s="57" t="n">
        <f aca="false">R23*Hypothèses!$F$38+R24*Hypothèses!$F$39+R25*Hypothèses!$F$40+R26*Hypothèses!$F$41</f>
        <v>179.909187259723</v>
      </c>
      <c r="S35" s="57" t="n">
        <f aca="false">S23*Hypothèses!$F$38+S24*Hypothèses!$F$39+S25*Hypothèses!$F$40+S26*Hypothèses!$F$41</f>
        <v>193.343298963261</v>
      </c>
      <c r="T35" s="57" t="n">
        <f aca="false">T23*Hypothèses!$F$38+T24*Hypothèses!$F$39+T25*Hypothèses!$F$40+T26*Hypothèses!$F$41</f>
        <v>257.794622206448</v>
      </c>
      <c r="U35" s="57" t="n">
        <f aca="false">U23*Hypothèses!$F$38+U24*Hypothèses!$F$39+U25*Hypothèses!$F$40+U26*Hypothèses!$F$41</f>
        <v>277.341082868657</v>
      </c>
      <c r="V35" s="57" t="n">
        <f aca="false">V23*Hypothèses!$F$38+V24*Hypothèses!$F$39+V25*Hypothèses!$F$40+V26*Hypothèses!$F$41</f>
        <v>298.386633836985</v>
      </c>
      <c r="W35" s="57" t="n">
        <f aca="false">W23*Hypothèses!$F$38+W24*Hypothèses!$F$39+W25*Hypothèses!$F$40+W26*Hypothèses!$F$41</f>
        <v>321.047324743108</v>
      </c>
      <c r="X35" s="57" t="n">
        <f aca="false">X23*Hypothèses!$F$38+X24*Hypothèses!$F$39+X25*Hypothèses!$F$40+X26*Hypothèses!$F$41</f>
        <v>345.448256533672</v>
      </c>
      <c r="Y35" s="57" t="n">
        <f aca="false">Y23*Hypothèses!$F$38+Y24*Hypothèses!$F$39+Y25*Hypothèses!$F$40+Y26*Hypothèses!$F$41</f>
        <v>371.724291616148</v>
      </c>
      <c r="Z35" s="57" t="n">
        <f aca="false">Z23*Hypothèses!$F$38+Z24*Hypothèses!$F$39+Z25*Hypothèses!$F$40+Z26*Hypothèses!$F$41</f>
        <v>400.020819978808</v>
      </c>
      <c r="AA35" s="57" t="n">
        <f aca="false">AA23*Hypothèses!$F$38+AA24*Hypothèses!$F$39+AA25*Hypothèses!$F$40+AA26*Hypothèses!$F$41</f>
        <v>430.494585712483</v>
      </c>
      <c r="AB35" s="57" t="n">
        <f aca="false">AB23*Hypothèses!$F$38+AB24*Hypothèses!$F$39+AB25*Hypothèses!$F$40+AB26*Hypothèses!$F$41</f>
        <v>463.314578712975</v>
      </c>
      <c r="AC35" s="57" t="n">
        <f aca="false">AC23*Hypothèses!$F$38+AC24*Hypothèses!$F$39+AC25*Hypothèses!$F$40+AC26*Hypothèses!$F$41</f>
        <v>498.662996722116</v>
      </c>
      <c r="AD35" s="57" t="n">
        <f aca="false">AD23*Hypothèses!$F$38+AD24*Hypothèses!$F$39+AD25*Hypothèses!$F$40+AD26*Hypothèses!$F$41</f>
        <v>536.736283274714</v>
      </c>
      <c r="AE35" s="57" t="n">
        <f aca="false">AE23*Hypothèses!$F$38+AE24*Hypothèses!$F$39+AE25*Hypothèses!$F$40+AE26*Hypothèses!$F$41</f>
        <v>577.74624756041</v>
      </c>
      <c r="AF35" s="57" t="n">
        <f aca="false">AF23*Hypothèses!$F$38+AF24*Hypothèses!$F$39+AF25*Hypothèses!$F$40+AF26*Hypothèses!$F$41</f>
        <v>621.921272686384</v>
      </c>
      <c r="AG35" s="57" t="n">
        <f aca="false">AG23*Hypothèses!$F$38+AG24*Hypothèses!$F$39+AG25*Hypothèses!$F$40+AG26*Hypothèses!$F$41</f>
        <v>669.507619341705</v>
      </c>
      <c r="AH35" s="57" t="n">
        <f aca="false">AH23*Hypothèses!$F$38+AH24*Hypothèses!$F$39+AH25*Hypothèses!$F$40+AH26*Hypothèses!$F$41</f>
        <v>720.770832419876</v>
      </c>
      <c r="AI35" s="57" t="n">
        <f aca="false">AI23*Hypothèses!$F$38+AI24*Hypothèses!$F$39+AI25*Hypothèses!$F$40+AI26*Hypothèses!$F$41</f>
        <v>775.997258756151</v>
      </c>
      <c r="AJ35" s="57" t="n">
        <f aca="false">AJ23*Hypothèses!$F$38+AJ24*Hypothèses!$F$39+AJ25*Hypothèses!$F$40+AJ26*Hypothèses!$F$41</f>
        <v>835.495684783889</v>
      </c>
      <c r="AK35" s="57" t="n">
        <f aca="false">AK23*Hypothèses!$F$38+AK24*Hypothèses!$F$39+AK25*Hypothèses!$F$40+AK26*Hypothèses!$F$41</f>
        <v>899.599103613481</v>
      </c>
      <c r="AL35" s="57" t="n">
        <f aca="false">AL23*Hypothèses!$F$38+AL24*Hypothèses!$F$39+AL25*Hypothèses!$F$40+AL26*Hypothèses!$F$41</f>
        <v>968.666621792253</v>
      </c>
    </row>
    <row r="36" customFormat="false" ht="15" hidden="false" customHeight="false" outlineLevel="0" collapsed="false">
      <c r="A36" s="13" t="s">
        <v>210</v>
      </c>
      <c r="B36" s="49" t="s">
        <v>200</v>
      </c>
      <c r="C36" s="57" t="n">
        <f aca="false">C28*Hypothèses!$B$19</f>
        <v>77.20944</v>
      </c>
      <c r="D36" s="57" t="n">
        <f aca="false">D28*Hypothèses!$B$19</f>
        <v>111.5647728</v>
      </c>
      <c r="E36" s="57" t="n">
        <f aca="false">E28*Hypothèses!$B$19</f>
        <v>147.823174896</v>
      </c>
      <c r="F36" s="57" t="n">
        <f aca="false">F28*Hypothèses!$B$19</f>
        <v>186.16225255152</v>
      </c>
      <c r="G36" s="57" t="n">
        <f aca="false">G28*Hypothèses!$B$19</f>
        <v>226.773059709566</v>
      </c>
      <c r="H36" s="57" t="n">
        <f aca="false">H28*Hypothèses!$B$19</f>
        <v>269.861196631639</v>
      </c>
      <c r="I36" s="57" t="n">
        <f aca="false">I28*Hypothèses!$B$19</f>
        <v>315.647995743118</v>
      </c>
      <c r="J36" s="57" t="n">
        <f aca="false">J28*Hypothèses!$B$19</f>
        <v>364.371801682087</v>
      </c>
      <c r="K36" s="57" t="n">
        <f aca="false">K28*Hypothèses!$B$19</f>
        <v>416.289353107787</v>
      </c>
      <c r="L36" s="57" t="n">
        <f aca="false">L28*Hypothèses!$B$19</f>
        <v>471.67727442881</v>
      </c>
      <c r="M36" s="57" t="n">
        <f aca="false">M28*Hypothèses!$B$19</f>
        <v>530.833686263343</v>
      </c>
      <c r="N36" s="57" t="n">
        <f aca="false">N28*Hypothèses!$B$19</f>
        <v>594.079944148231</v>
      </c>
      <c r="O36" s="57" t="n">
        <f aca="false">O28*Hypothèses!$B$19</f>
        <v>658.595665035485</v>
      </c>
      <c r="P36" s="57" t="n">
        <f aca="false">P28*Hypothèses!$B$19</f>
        <v>724.469439064588</v>
      </c>
      <c r="Q36" s="57" t="n">
        <f aca="false">Q28*Hypothèses!$B$19</f>
        <v>791.792265632026</v>
      </c>
      <c r="R36" s="57" t="n">
        <f aca="false">R28*Hypothèses!$B$19</f>
        <v>860.657683792015</v>
      </c>
      <c r="S36" s="57" t="n">
        <f aca="false">S28*Hypothèses!$B$19</f>
        <v>931.161906852363</v>
      </c>
      <c r="T36" s="57" t="n">
        <f aca="false">T28*Hypothèses!$B$19</f>
        <v>1003.40396136386</v>
      </c>
      <c r="U36" s="57" t="n">
        <f aca="false">U28*Hypothèses!$B$19</f>
        <v>1077.4858307087</v>
      </c>
      <c r="V36" s="57" t="n">
        <f aca="false">V28*Hypothèses!$B$19</f>
        <v>1153.51260350063</v>
      </c>
      <c r="W36" s="57" t="n">
        <f aca="false">W28*Hypothèses!$B$19</f>
        <v>1231.59262701732</v>
      </c>
      <c r="X36" s="57" t="n">
        <f aca="false">X28*Hypothèses!$B$19</f>
        <v>1311.83766589338</v>
      </c>
      <c r="Y36" s="57" t="n">
        <f aca="false">Y28*Hypothèses!$B$19</f>
        <v>1394.36306631063</v>
      </c>
      <c r="Z36" s="57" t="n">
        <f aca="false">Z28*Hypothèses!$B$19</f>
        <v>1479.28792593111</v>
      </c>
      <c r="AA36" s="57" t="n">
        <f aca="false">AA28*Hypothèses!$B$19</f>
        <v>1566.73526982738</v>
      </c>
      <c r="AB36" s="57" t="n">
        <f aca="false">AB28*Hypothèses!$B$19</f>
        <v>1656.83223267373</v>
      </c>
      <c r="AC36" s="57" t="n">
        <f aca="false">AC28*Hypothèses!$B$19</f>
        <v>1749.71024747233</v>
      </c>
      <c r="AD36" s="57" t="n">
        <f aca="false">AD28*Hypothèses!$B$19</f>
        <v>1845.50524109812</v>
      </c>
      <c r="AE36" s="57" t="n">
        <f aca="false">AE28*Hypothèses!$B$19</f>
        <v>1944.35783695714</v>
      </c>
      <c r="AF36" s="57" t="n">
        <f aca="false">AF28*Hypothèses!$B$19</f>
        <v>2046.41356506407</v>
      </c>
      <c r="AG36" s="57" t="n">
        <f aca="false">AG28*Hypothèses!$B$19</f>
        <v>2151.82307985642</v>
      </c>
      <c r="AH36" s="57" t="n">
        <f aca="false">AH28*Hypothèses!$B$19</f>
        <v>2260.74238607477</v>
      </c>
      <c r="AI36" s="57" t="n">
        <f aca="false">AI28*Hypothèses!$B$19</f>
        <v>2373.33307305112</v>
      </c>
      <c r="AJ36" s="57" t="n">
        <f aca="false">AJ28*Hypothèses!$B$19</f>
        <v>2489.76255776054</v>
      </c>
      <c r="AK36" s="57" t="n">
        <f aca="false">AK28*Hypothèses!$B$19</f>
        <v>2610.2043370047</v>
      </c>
      <c r="AL36" s="57" t="n">
        <f aca="false">AL28*Hypothèses!$B$19</f>
        <v>2734.83824911062</v>
      </c>
    </row>
    <row r="37" customFormat="false" ht="15" hidden="false" customHeight="false" outlineLevel="0" collapsed="false">
      <c r="A37" s="13" t="s">
        <v>211</v>
      </c>
      <c r="B37" s="49" t="s">
        <v>200</v>
      </c>
      <c r="C37" s="57" t="n">
        <f aca="false">C29*Hypothèses!$B$21</f>
        <v>0</v>
      </c>
      <c r="D37" s="57" t="n">
        <f aca="false">D29*Hypothèses!$B$21</f>
        <v>0</v>
      </c>
      <c r="E37" s="57" t="n">
        <f aca="false">E29*Hypothèses!$B$21</f>
        <v>0</v>
      </c>
      <c r="F37" s="57" t="n">
        <f aca="false">F29*Hypothèses!$B$21</f>
        <v>0</v>
      </c>
      <c r="G37" s="57" t="n">
        <f aca="false">G29*Hypothèses!$B$21</f>
        <v>0</v>
      </c>
      <c r="H37" s="57" t="n">
        <f aca="false">H29*Hypothèses!$B$21</f>
        <v>0</v>
      </c>
      <c r="I37" s="57" t="n">
        <f aca="false">I29*Hypothèses!$B$21</f>
        <v>0</v>
      </c>
      <c r="J37" s="57" t="n">
        <f aca="false">J29*Hypothèses!$B$21</f>
        <v>0</v>
      </c>
      <c r="K37" s="57" t="n">
        <f aca="false">K29*Hypothèses!$B$21</f>
        <v>0</v>
      </c>
      <c r="L37" s="57" t="n">
        <f aca="false">L29*Hypothèses!$B$21</f>
        <v>0</v>
      </c>
      <c r="M37" s="57" t="n">
        <f aca="false">M29*Hypothèses!$B$21</f>
        <v>0</v>
      </c>
      <c r="N37" s="57" t="n">
        <f aca="false">N29*Hypothèses!$B$21</f>
        <v>0</v>
      </c>
      <c r="O37" s="57" t="n">
        <f aca="false">O29*Hypothèses!$B$21</f>
        <v>0</v>
      </c>
      <c r="P37" s="57" t="n">
        <f aca="false">P29*Hypothèses!$B$21</f>
        <v>0</v>
      </c>
      <c r="Q37" s="57" t="n">
        <f aca="false">Q29*Hypothèses!$B$21</f>
        <v>0</v>
      </c>
      <c r="R37" s="57" t="n">
        <f aca="false">R29*Hypothèses!$B$21</f>
        <v>0</v>
      </c>
      <c r="S37" s="57" t="n">
        <f aca="false">S29*Hypothèses!$B$21</f>
        <v>0</v>
      </c>
      <c r="T37" s="57" t="n">
        <f aca="false">T29*Hypothèses!$B$21</f>
        <v>0</v>
      </c>
      <c r="U37" s="57" t="n">
        <f aca="false">U29*Hypothèses!$B$21</f>
        <v>0</v>
      </c>
      <c r="V37" s="57" t="n">
        <f aca="false">V29*Hypothèses!$B$21</f>
        <v>0</v>
      </c>
      <c r="W37" s="57" t="n">
        <f aca="false">W29*Hypothèses!$B$21</f>
        <v>0</v>
      </c>
      <c r="X37" s="57" t="n">
        <f aca="false">X29*Hypothèses!$B$21</f>
        <v>0</v>
      </c>
      <c r="Y37" s="57" t="n">
        <f aca="false">Y29*Hypothèses!$B$21</f>
        <v>0</v>
      </c>
      <c r="Z37" s="57" t="n">
        <f aca="false">Z29*Hypothèses!$B$21</f>
        <v>0</v>
      </c>
      <c r="AA37" s="57" t="n">
        <f aca="false">AA29*Hypothèses!$B$21</f>
        <v>0</v>
      </c>
      <c r="AB37" s="57" t="n">
        <f aca="false">AB29*Hypothèses!$B$21</f>
        <v>0</v>
      </c>
      <c r="AC37" s="57" t="n">
        <f aca="false">AC29*Hypothèses!$B$21</f>
        <v>0</v>
      </c>
      <c r="AD37" s="57" t="n">
        <f aca="false">AD29*Hypothèses!$B$21</f>
        <v>0</v>
      </c>
      <c r="AE37" s="57" t="n">
        <f aca="false">AE29*Hypothèses!$B$21</f>
        <v>0</v>
      </c>
      <c r="AF37" s="57" t="n">
        <f aca="false">AF29*Hypothèses!$B$21</f>
        <v>0</v>
      </c>
      <c r="AG37" s="57" t="n">
        <f aca="false">AG29*Hypothèses!$B$21</f>
        <v>0</v>
      </c>
      <c r="AH37" s="57" t="n">
        <f aca="false">AH29*Hypothèses!$B$21</f>
        <v>0</v>
      </c>
      <c r="AI37" s="57" t="n">
        <f aca="false">AI29*Hypothèses!$B$21</f>
        <v>0</v>
      </c>
      <c r="AJ37" s="57" t="n">
        <f aca="false">AJ29*Hypothèses!$B$21</f>
        <v>0</v>
      </c>
      <c r="AK37" s="57" t="n">
        <f aca="false">AK29*Hypothèses!$B$21</f>
        <v>0</v>
      </c>
      <c r="AL37" s="57" t="n">
        <f aca="false">AL29*Hypothèses!$B$21</f>
        <v>0</v>
      </c>
    </row>
    <row r="38" customFormat="false" ht="15" hidden="false" customHeight="false" outlineLevel="0" collapsed="false">
      <c r="A38" s="13" t="s">
        <v>212</v>
      </c>
      <c r="B38" s="49" t="s">
        <v>200</v>
      </c>
      <c r="C38" s="57" t="n">
        <f aca="false">C11*Hypothèses!$B$27</f>
        <v>70.65</v>
      </c>
      <c r="D38" s="57" t="n">
        <f aca="false">D11*Hypothèses!$B$27</f>
        <v>97.6905</v>
      </c>
      <c r="E38" s="57" t="n">
        <f aca="false">E11*Hypothèses!$B$27</f>
        <v>126.252585</v>
      </c>
      <c r="F38" s="57" t="n">
        <f aca="false">F11*Hypothèses!$B$27</f>
        <v>156.47723145</v>
      </c>
      <c r="G38" s="57" t="n">
        <f aca="false">G11*Hypothèses!$B$27</f>
        <v>188.5161164265</v>
      </c>
      <c r="H38" s="57" t="n">
        <f aca="false">H11*Hypothèses!$B$27</f>
        <v>222.532491007305</v>
      </c>
      <c r="I38" s="57" t="n">
        <f aca="false">I11*Hypothèses!$B$27</f>
        <v>258.702122996574</v>
      </c>
      <c r="J38" s="57" t="n">
        <f aca="false">J11*Hypothèses!$B$27</f>
        <v>297.214314563724</v>
      </c>
      <c r="K38" s="57" t="n">
        <f aca="false">K11*Hypothèses!$B$27</f>
        <v>338.273000804423</v>
      </c>
      <c r="L38" s="57" t="n">
        <f aca="false">L11*Hypothèses!$B$27</f>
        <v>382.09793571211</v>
      </c>
      <c r="M38" s="57" t="n">
        <f aca="false">M11*Hypothèses!$B$27</f>
        <v>428.925972567112</v>
      </c>
      <c r="N38" s="57" t="n">
        <f aca="false">N11*Hypothèses!$B$27</f>
        <v>479.012446310573</v>
      </c>
      <c r="O38" s="57" t="n">
        <f aca="false">O11*Hypothèses!$B$27</f>
        <v>530.114495958549</v>
      </c>
      <c r="P38" s="57" t="n">
        <f aca="false">P11*Hypothèses!$B$27</f>
        <v>582.302381038578</v>
      </c>
      <c r="Q38" s="57" t="n">
        <f aca="false">Q11*Hypothèses!$B$27</f>
        <v>635.648282364557</v>
      </c>
      <c r="R38" s="57" t="n">
        <f aca="false">R11*Hypothèses!$B$27</f>
        <v>690.226405561043</v>
      </c>
      <c r="S38" s="57" t="n">
        <f aca="false">S11*Hypothèses!$B$27</f>
        <v>746.11308792833</v>
      </c>
      <c r="T38" s="57" t="n">
        <f aca="false">T11*Hypothèses!$B$27</f>
        <v>803.386908805964</v>
      </c>
      <c r="U38" s="57" t="n">
        <f aca="false">U11*Hypothèses!$B$27</f>
        <v>862.128803597888</v>
      </c>
      <c r="V38" s="57" t="n">
        <f aca="false">V11*Hypothèses!$B$27</f>
        <v>922.422181628299</v>
      </c>
      <c r="W38" s="57" t="n">
        <f aca="false">W11*Hypothèses!$B$27</f>
        <v>984.353048003331</v>
      </c>
      <c r="X38" s="57" t="n">
        <f aca="false">X11*Hypothèses!$B$27</f>
        <v>1048.01012966007</v>
      </c>
      <c r="Y38" s="57" t="n">
        <f aca="false">Y11*Hypothèses!$B$27</f>
        <v>1113.48500579098</v>
      </c>
      <c r="Z38" s="57" t="n">
        <f aca="false">Z11*Hypothèses!$B$27</f>
        <v>1180.87224283878</v>
      </c>
      <c r="AA38" s="57" t="n">
        <f aca="false">AA11*Hypothèses!$B$27</f>
        <v>1250.26953426402</v>
      </c>
      <c r="AB38" s="57" t="n">
        <f aca="false">AB11*Hypothèses!$B$27</f>
        <v>1321.77784529492</v>
      </c>
      <c r="AC38" s="57" t="n">
        <f aca="false">AC11*Hypothèses!$B$27</f>
        <v>1395.50156287724</v>
      </c>
      <c r="AD38" s="57" t="n">
        <f aca="false">AD11*Hypothèses!$B$27</f>
        <v>1471.54865104973</v>
      </c>
      <c r="AE38" s="57" t="n">
        <f aca="false">AE11*Hypothèses!$B$27</f>
        <v>1550.03081197941</v>
      </c>
      <c r="AF38" s="57" t="n">
        <f aca="false">AF11*Hypothèses!$B$27</f>
        <v>1631.06365289964</v>
      </c>
      <c r="AG38" s="57" t="n">
        <f aca="false">AG11*Hypothèses!$B$27</f>
        <v>1714.76685920345</v>
      </c>
      <c r="AH38" s="57" t="n">
        <f aca="false">AH11*Hypothèses!$B$27</f>
        <v>1801.26437395378</v>
      </c>
      <c r="AI38" s="57" t="n">
        <f aca="false">AI11*Hypothèses!$B$27</f>
        <v>1890.68458408265</v>
      </c>
      <c r="AJ38" s="57" t="n">
        <f aca="false">AJ11*Hypothèses!$B$27</f>
        <v>1983.16051356156</v>
      </c>
      <c r="AK38" s="57" t="n">
        <f aca="false">AK11*Hypothèses!$B$27</f>
        <v>2078.83002383616</v>
      </c>
      <c r="AL38" s="57" t="n">
        <f aca="false">AL11*Hypothèses!$B$27</f>
        <v>2177.83602182978</v>
      </c>
    </row>
    <row r="39" customFormat="false" ht="15" hidden="false" customHeight="false" outlineLevel="0" collapsed="false">
      <c r="A39" s="13" t="s">
        <v>213</v>
      </c>
      <c r="B39" s="49" t="s">
        <v>200</v>
      </c>
      <c r="C39" s="57" t="n">
        <f aca="false">C17*Hypothèses!$B$29*((1-Hypothèses!$B$31)+Hypothèses!$B$31*(12-Hypothèses!$B$30)/12)</f>
        <v>6.71175</v>
      </c>
      <c r="D39" s="57" t="n">
        <f aca="false">D17*Hypothèses!$B$29*((1-Hypothèses!$B$31)+Hypothèses!$B$31*(12-Hypothèses!$B$30)/12)</f>
        <v>9.2805975</v>
      </c>
      <c r="E39" s="57" t="n">
        <f aca="false">E17*Hypothèses!$B$29*((1-Hypothèses!$B$31)+Hypothèses!$B$31*(12-Hypothèses!$B$30)/12)</f>
        <v>11.993995575</v>
      </c>
      <c r="F39" s="57" t="n">
        <f aca="false">F17*Hypothèses!$B$29*((1-Hypothèses!$B$31)+Hypothèses!$B$31*(12-Hypothèses!$B$30)/12)</f>
        <v>14.86533698775</v>
      </c>
      <c r="G39" s="57" t="n">
        <f aca="false">G17*Hypothèses!$B$29*((1-Hypothèses!$B$31)+Hypothèses!$B$31*(12-Hypothèses!$B$30)/12)</f>
        <v>17.9090310605175</v>
      </c>
      <c r="H39" s="57" t="n">
        <f aca="false">H17*Hypothèses!$B$29*((1-Hypothèses!$B$31)+Hypothèses!$B$31*(12-Hypothèses!$B$30)/12)</f>
        <v>21.140586645694</v>
      </c>
      <c r="I39" s="57" t="n">
        <f aca="false">I17*Hypothèses!$B$29*((1-Hypothèses!$B$31)+Hypothèses!$B$31*(12-Hypothèses!$B$30)/12)</f>
        <v>24.5767016846745</v>
      </c>
      <c r="J39" s="57" t="n">
        <f aca="false">J17*Hypothèses!$B$29*((1-Hypothèses!$B$31)+Hypothèses!$B$31*(12-Hypothèses!$B$30)/12)</f>
        <v>28.2353598835538</v>
      </c>
      <c r="K39" s="57" t="n">
        <f aca="false">K17*Hypothèses!$B$29*((1-Hypothèses!$B$31)+Hypothèses!$B$31*(12-Hypothèses!$B$30)/12)</f>
        <v>32.1359350764202</v>
      </c>
      <c r="L39" s="57" t="n">
        <f aca="false">L17*Hypothèses!$B$29*((1-Hypothèses!$B$31)+Hypothèses!$B$31*(12-Hypothèses!$B$30)/12)</f>
        <v>36.2993038926504</v>
      </c>
      <c r="M39" s="57" t="n">
        <f aca="false">M17*Hypothèses!$B$29*((1-Hypothèses!$B$31)+Hypothèses!$B$31*(12-Hypothèses!$B$30)/12)</f>
        <v>40.7479673938756</v>
      </c>
      <c r="N39" s="57" t="n">
        <f aca="false">N17*Hypothèses!$B$29*((1-Hypothèses!$B$31)+Hypothèses!$B$31*(12-Hypothèses!$B$30)/12)</f>
        <v>45.5061823995044</v>
      </c>
      <c r="O39" s="57" t="n">
        <f aca="false">O17*Hypothèses!$B$29*((1-Hypothèses!$B$31)+Hypothèses!$B$31*(12-Hypothèses!$B$30)/12)</f>
        <v>50.3608771160622</v>
      </c>
      <c r="P39" s="57" t="n">
        <f aca="false">P17*Hypothèses!$B$29*((1-Hypothèses!$B$31)+Hypothèses!$B$31*(12-Hypothèses!$B$30)/12)</f>
        <v>55.3187261986649</v>
      </c>
      <c r="Q39" s="57" t="n">
        <f aca="false">Q17*Hypothèses!$B$29*((1-Hypothèses!$B$31)+Hypothèses!$B$31*(12-Hypothèses!$B$30)/12)</f>
        <v>60.3865868246329</v>
      </c>
      <c r="R39" s="57" t="n">
        <f aca="false">R17*Hypothèses!$B$29*((1-Hypothèses!$B$31)+Hypothèses!$B$31*(12-Hypothèses!$B$30)/12)</f>
        <v>65.5715085282991</v>
      </c>
      <c r="S39" s="57" t="n">
        <f aca="false">S17*Hypothèses!$B$29*((1-Hypothèses!$B$31)+Hypothèses!$B$31*(12-Hypothèses!$B$30)/12)</f>
        <v>70.8807433531914</v>
      </c>
      <c r="T39" s="57" t="n">
        <f aca="false">T17*Hypothèses!$B$29*((1-Hypothèses!$B$31)+Hypothèses!$B$31*(12-Hypothèses!$B$30)/12)</f>
        <v>76.3217563365666</v>
      </c>
      <c r="U39" s="57" t="n">
        <f aca="false">U17*Hypothèses!$B$29*((1-Hypothèses!$B$31)+Hypothèses!$B$31*(12-Hypothèses!$B$30)/12)</f>
        <v>81.9022363417994</v>
      </c>
      <c r="V39" s="57" t="n">
        <f aca="false">V17*Hypothèses!$B$29*((1-Hypothèses!$B$31)+Hypothèses!$B$31*(12-Hypothèses!$B$30)/12)</f>
        <v>87.6301072546884</v>
      </c>
      <c r="W39" s="57" t="n">
        <f aca="false">W17*Hypothèses!$B$29*((1-Hypothèses!$B$31)+Hypothèses!$B$31*(12-Hypothèses!$B$30)/12)</f>
        <v>93.5135395603164</v>
      </c>
      <c r="X39" s="57" t="n">
        <f aca="false">X17*Hypothèses!$B$29*((1-Hypothèses!$B$31)+Hypothèses!$B$31*(12-Hypothèses!$B$30)/12)</f>
        <v>99.5609623177064</v>
      </c>
      <c r="Y39" s="57" t="n">
        <f aca="false">Y17*Hypothèses!$B$29*((1-Hypothèses!$B$31)+Hypothèses!$B$31*(12-Hypothèses!$B$30)/12)</f>
        <v>105.781075550143</v>
      </c>
      <c r="Z39" s="57" t="n">
        <f aca="false">Z17*Hypothèses!$B$29*((1-Hypothèses!$B$31)+Hypothèses!$B$31*(12-Hypothèses!$B$30)/12)</f>
        <v>112.182863069684</v>
      </c>
      <c r="AA39" s="57" t="n">
        <f aca="false">AA17*Hypothèses!$B$29*((1-Hypothèses!$B$31)+Hypothèses!$B$31*(12-Hypothèses!$B$30)/12)</f>
        <v>118.775605755082</v>
      </c>
      <c r="AB39" s="57" t="n">
        <f aca="false">AB17*Hypothèses!$B$29*((1-Hypothèses!$B$31)+Hypothèses!$B$31*(12-Hypothèses!$B$30)/12)</f>
        <v>125.568895303017</v>
      </c>
      <c r="AC39" s="57" t="n">
        <f aca="false">AC17*Hypothèses!$B$29*((1-Hypothèses!$B$31)+Hypothèses!$B$31*(12-Hypothèses!$B$30)/12)</f>
        <v>132.572648473337</v>
      </c>
      <c r="AD39" s="57" t="n">
        <f aca="false">AD17*Hypothèses!$B$29*((1-Hypothèses!$B$31)+Hypothèses!$B$31*(12-Hypothèses!$B$30)/12)</f>
        <v>139.797121849725</v>
      </c>
      <c r="AE39" s="57" t="n">
        <f aca="false">AE17*Hypothèses!$B$29*((1-Hypothèses!$B$31)+Hypothèses!$B$31*(12-Hypothèses!$B$30)/12)</f>
        <v>147.252927138044</v>
      </c>
      <c r="AF39" s="57" t="n">
        <f aca="false">AF17*Hypothèses!$B$29*((1-Hypothèses!$B$31)+Hypothèses!$B$31*(12-Hypothèses!$B$30)/12)</f>
        <v>154.951047025466</v>
      </c>
      <c r="AG39" s="57" t="n">
        <f aca="false">AG17*Hypothèses!$B$29*((1-Hypothèses!$B$31)+Hypothèses!$B$31*(12-Hypothèses!$B$30)/12)</f>
        <v>162.902851624328</v>
      </c>
      <c r="AH39" s="57" t="n">
        <f aca="false">AH17*Hypothèses!$B$29*((1-Hypothèses!$B$31)+Hypothèses!$B$31*(12-Hypothèses!$B$30)/12)</f>
        <v>171.120115525609</v>
      </c>
      <c r="AI39" s="57" t="n">
        <f aca="false">AI17*Hypothèses!$B$29*((1-Hypothèses!$B$31)+Hypothèses!$B$31*(12-Hypothèses!$B$30)/12)</f>
        <v>179.615035487852</v>
      </c>
      <c r="AJ39" s="57" t="n">
        <f aca="false">AJ17*Hypothèses!$B$29*((1-Hypothèses!$B$31)+Hypothèses!$B$31*(12-Hypothèses!$B$30)/12)</f>
        <v>188.400248788348</v>
      </c>
      <c r="AK39" s="57" t="n">
        <f aca="false">AK17*Hypothèses!$B$29*((1-Hypothèses!$B$31)+Hypothèses!$B$31*(12-Hypothèses!$B$30)/12)</f>
        <v>197.488852264435</v>
      </c>
      <c r="AL39" s="57" t="n">
        <f aca="false">AL17*Hypothèses!$B$29*((1-Hypothèses!$B$31)+Hypothèses!$B$31*(12-Hypothèses!$B$30)/12)</f>
        <v>206.894422073829</v>
      </c>
    </row>
    <row r="40" customFormat="false" ht="15" hidden="false" customHeight="false" outlineLevel="0" collapsed="false">
      <c r="A40" s="13" t="s">
        <v>214</v>
      </c>
      <c r="B40" s="49" t="s">
        <v>200</v>
      </c>
      <c r="C40" s="57" t="n">
        <f aca="false">C15*Scénarios!$E$18*Hypothèses!$B$32/Hypothèses!$B$8</f>
        <v>13.6842105263158</v>
      </c>
      <c r="D40" s="57" t="n">
        <f aca="false">D15*Scénarios!$E$18*Hypothèses!$B$32/Hypothèses!$B$8</f>
        <v>20.5789473684211</v>
      </c>
      <c r="E40" s="57" t="n">
        <f aca="false">E15*Scénarios!$E$18*Hypothèses!$B$32/Hypothèses!$B$8</f>
        <v>27.7352631578947</v>
      </c>
      <c r="F40" s="57" t="n">
        <f aca="false">F15*Scénarios!$E$18*Hypothèses!$B$32/Hypothèses!$B$8</f>
        <v>35.1885842105263</v>
      </c>
      <c r="G40" s="57" t="n">
        <f aca="false">G15*Scénarios!$E$18*Hypothèses!$B$32/Hypothèses!$B$8</f>
        <v>42.9764459473684</v>
      </c>
      <c r="H40" s="57" t="n">
        <f aca="false">H15*Scénarios!$E$18*Hypothèses!$B$32/Hypothèses!$B$8</f>
        <v>51.1386978731579</v>
      </c>
      <c r="I40" s="57" t="n">
        <f aca="false">I15*Scénarios!$E$18*Hypothèses!$B$32/Hypothèses!$B$8</f>
        <v>59.7177231405105</v>
      </c>
      <c r="J40" s="57" t="n">
        <f aca="false">J15*Scénarios!$E$18*Hypothèses!$B$32/Hypothèses!$B$8</f>
        <v>68.7586739573764</v>
      </c>
      <c r="K40" s="57" t="n">
        <f aca="false">K15*Scénarios!$E$18*Hypothèses!$B$32/Hypothèses!$B$8</f>
        <v>78.3097241913102</v>
      </c>
      <c r="L40" s="57" t="n">
        <f aca="false">L15*Scénarios!$E$18*Hypothèses!$B$32/Hypothèses!$B$8</f>
        <v>88.4223406280916</v>
      </c>
      <c r="M40" s="57" t="n">
        <f aca="false">M15*Scénarios!$E$18*Hypothèses!$B$32/Hypothèses!$B$8</f>
        <v>99.1515744547417</v>
      </c>
      <c r="N40" s="57" t="n">
        <f aca="false">N15*Scénarios!$E$18*Hypothèses!$B$32/Hypothèses!$B$8</f>
        <v>110.556374658704</v>
      </c>
      <c r="O40" s="57" t="n">
        <f aca="false">O15*Scénarios!$E$18*Hypothèses!$B$32/Hypothèses!$B$8</f>
        <v>122.045430009535</v>
      </c>
      <c r="P40" s="57" t="n">
        <f aca="false">P15*Scénarios!$E$18*Hypothèses!$B$32/Hypothèses!$B$8</f>
        <v>133.640707556176</v>
      </c>
      <c r="Q40" s="57" t="n">
        <f aca="false">Q15*Scénarios!$E$18*Hypothèses!$B$32/Hypothèses!$B$8</f>
        <v>145.36412318737</v>
      </c>
      <c r="R40" s="57" t="n">
        <f aca="false">R15*Scénarios!$E$18*Hypothèses!$B$32/Hypothèses!$B$8</f>
        <v>157.237586077364</v>
      </c>
      <c r="S40" s="57" t="n">
        <f aca="false">S15*Scénarios!$E$18*Hypothèses!$B$32/Hypothèses!$B$8</f>
        <v>169.283042584833</v>
      </c>
      <c r="T40" s="57" t="n">
        <f aca="false">T15*Scénarios!$E$18*Hypothèses!$B$32/Hypothèses!$B$8</f>
        <v>181.522519699381</v>
      </c>
      <c r="U40" s="57" t="n">
        <f aca="false">U15*Scénarios!$E$18*Hypothèses!$B$32/Hypothèses!$B$8</f>
        <v>193.978168127954</v>
      </c>
      <c r="V40" s="57" t="n">
        <f aca="false">V15*Scénarios!$E$18*Hypothèses!$B$32/Hypothèses!$B$8</f>
        <v>206.67230511164</v>
      </c>
      <c r="W40" s="57" t="n">
        <f aca="false">W15*Scénarios!$E$18*Hypothèses!$B$32/Hypothèses!$B$8</f>
        <v>219.627457061746</v>
      </c>
      <c r="X40" s="57" t="n">
        <f aca="false">X15*Scénarios!$E$18*Hypothèses!$B$32/Hypothèses!$B$8</f>
        <v>232.866402102573</v>
      </c>
      <c r="Y40" s="57" t="n">
        <f aca="false">Y15*Scénarios!$E$18*Hypothèses!$B$32/Hypothèses!$B$8</f>
        <v>246.412212607115</v>
      </c>
      <c r="Z40" s="57" t="n">
        <f aca="false">Z15*Scénarios!$E$18*Hypothèses!$B$32/Hypothèses!$B$8</f>
        <v>260.288297810818</v>
      </c>
      <c r="AA40" s="57" t="n">
        <f aca="false">AA15*Scénarios!$E$18*Hypothèses!$B$32/Hypothèses!$B$8</f>
        <v>274.518446587697</v>
      </c>
      <c r="AB40" s="57" t="n">
        <f aca="false">AB15*Scénarios!$E$18*Hypothèses!$B$32/Hypothèses!$B$8</f>
        <v>289.126870472429</v>
      </c>
      <c r="AC40" s="57" t="n">
        <f aca="false">AC15*Scénarios!$E$18*Hypothèses!$B$32/Hypothèses!$B$8</f>
        <v>304.13824701149</v>
      </c>
      <c r="AD40" s="57" t="n">
        <f aca="false">AD15*Scénarios!$E$18*Hypothèses!$B$32/Hypothèses!$B$8</f>
        <v>319.577763526104</v>
      </c>
      <c r="AE40" s="57" t="n">
        <f aca="false">AE15*Scénarios!$E$18*Hypothèses!$B$32/Hypothèses!$B$8</f>
        <v>335.471161369596</v>
      </c>
      <c r="AF40" s="57" t="n">
        <f aca="false">AF15*Scénarios!$E$18*Hypothèses!$B$32/Hypothèses!$B$8</f>
        <v>351.844780761704</v>
      </c>
      <c r="AG40" s="57" t="n">
        <f aca="false">AG15*Scénarios!$E$18*Hypothèses!$B$32/Hypothèses!$B$8</f>
        <v>368.725606282631</v>
      </c>
      <c r="AH40" s="57" t="n">
        <f aca="false">AH15*Scénarios!$E$18*Hypothèses!$B$32/Hypothèses!$B$8</f>
        <v>386.141313109872</v>
      </c>
      <c r="AI40" s="57" t="n">
        <f aca="false">AI15*Scénarios!$E$18*Hypothèses!$B$32/Hypothèses!$B$8</f>
        <v>404.120314081406</v>
      </c>
      <c r="AJ40" s="57" t="n">
        <f aca="false">AJ15*Scénarios!$E$18*Hypothèses!$B$32/Hypothèses!$B$8</f>
        <v>422.691807669444</v>
      </c>
      <c r="AK40" s="57" t="n">
        <f aca="false">AK15*Scénarios!$E$18*Hypothèses!$B$32/Hypothèses!$B$8</f>
        <v>441.885826949765</v>
      </c>
      <c r="AL40" s="57" t="n">
        <f aca="false">AL15*Scénarios!$E$18*Hypothèses!$B$32/Hypothèses!$B$8</f>
        <v>461.733289652622</v>
      </c>
    </row>
    <row r="41" customFormat="false" ht="15" hidden="false" customHeight="false" outlineLevel="0" collapsed="false">
      <c r="A41" s="54" t="s">
        <v>215</v>
      </c>
      <c r="B41" s="55" t="s">
        <v>200</v>
      </c>
      <c r="C41" s="39" t="n">
        <f aca="false">SUM(C33:C40)</f>
        <v>509.961400526316</v>
      </c>
      <c r="D41" s="39" t="n">
        <f aca="false">SUM(D33:D40)</f>
        <v>725.168037668421</v>
      </c>
      <c r="E41" s="39" t="n">
        <f aca="false">SUM(E33:E40)</f>
        <v>952.206914028895</v>
      </c>
      <c r="F41" s="39" t="n">
        <f aca="false">SUM(F33:F40)</f>
        <v>1192.1897774978</v>
      </c>
      <c r="G41" s="39" t="n">
        <f aca="false">SUM(G33:G40)</f>
        <v>1446.31194113381</v>
      </c>
      <c r="H41" s="39" t="n">
        <f aca="false">SUM(H33:H40)</f>
        <v>1753.35913634162</v>
      </c>
      <c r="I41" s="39" t="n">
        <f aca="false">SUM(I33:I40)</f>
        <v>2042.71490807299</v>
      </c>
      <c r="J41" s="39" t="n">
        <f aca="false">SUM(J33:J40)</f>
        <v>2350.6085956086</v>
      </c>
      <c r="K41" s="39" t="n">
        <f aca="false">SUM(K33:K40)</f>
        <v>2678.66314595301</v>
      </c>
      <c r="L41" s="39" t="n">
        <f aca="false">SUM(L33:L40)</f>
        <v>3028.62674662843</v>
      </c>
      <c r="M41" s="39" t="n">
        <f aca="false">SUM(M33:M40)</f>
        <v>3402.38298358719</v>
      </c>
      <c r="N41" s="39" t="n">
        <f aca="false">SUM(N33:N40)</f>
        <v>3839.46180641175</v>
      </c>
      <c r="O41" s="39" t="n">
        <f aca="false">SUM(O33:O40)</f>
        <v>4250.27741195009</v>
      </c>
      <c r="P41" s="39" t="n">
        <f aca="false">SUM(P33:P40)</f>
        <v>4670.16236471561</v>
      </c>
      <c r="Q41" s="39" t="n">
        <f aca="false">SUM(Q33:Q40)</f>
        <v>5099.74565077353</v>
      </c>
      <c r="R41" s="39" t="n">
        <f aca="false">SUM(R33:R40)</f>
        <v>5539.67605368517</v>
      </c>
      <c r="S41" s="39" t="n">
        <f aca="false">SUM(S33:S40)</f>
        <v>5990.62335823349</v>
      </c>
      <c r="T41" s="39" t="n">
        <f aca="false">SUM(T33:T40)</f>
        <v>6503.27960742832</v>
      </c>
      <c r="U41" s="39" t="n">
        <f aca="false">SUM(U33:U40)</f>
        <v>6982.3604162646</v>
      </c>
      <c r="V41" s="39" t="n">
        <f aca="false">SUM(V33:V40)</f>
        <v>7474.92634591819</v>
      </c>
      <c r="W41" s="39" t="n">
        <f aca="false">SUM(W33:W40)</f>
        <v>7981.76994229133</v>
      </c>
      <c r="X41" s="39" t="n">
        <f aca="false">SUM(X33:X40)</f>
        <v>8503.71369106317</v>
      </c>
      <c r="Y41" s="39" t="n">
        <f aca="false">SUM(Y33:Y40)</f>
        <v>9041.61176150262</v>
      </c>
      <c r="Z41" s="39" t="n">
        <f aca="false">SUM(Z33:Z40)</f>
        <v>9596.35184100885</v>
      </c>
      <c r="AA41" s="39" t="n">
        <f aca="false">SUM(AA33:AA40)</f>
        <v>10168.8570664274</v>
      </c>
      <c r="AB41" s="39" t="n">
        <f aca="false">SUM(AB33:AB40)</f>
        <v>10760.0880585976</v>
      </c>
      <c r="AC41" s="39" t="n">
        <f aca="false">SUM(AC33:AC40)</f>
        <v>11371.0450670245</v>
      </c>
      <c r="AD41" s="39" t="n">
        <f aca="false">SUM(AD33:AD40)</f>
        <v>12002.7702320406</v>
      </c>
      <c r="AE41" s="39" t="n">
        <f aca="false">SUM(AE33:AE40)</f>
        <v>12656.349972326</v>
      </c>
      <c r="AF41" s="39" t="n">
        <f aca="false">SUM(AF33:AF40)</f>
        <v>13332.9175062042</v>
      </c>
      <c r="AG41" s="39" t="n">
        <f aca="false">SUM(AG33:AG40)</f>
        <v>14033.6555157103</v>
      </c>
      <c r="AH41" s="39" t="n">
        <f aca="false">SUM(AH33:AH40)</f>
        <v>14759.7989630621</v>
      </c>
      <c r="AI41" s="39" t="n">
        <f aca="false">SUM(AI33:AI40)</f>
        <v>15512.6380698389</v>
      </c>
      <c r="AJ41" s="39" t="n">
        <f aca="false">SUM(AJ33:AJ40)</f>
        <v>16293.5214698993</v>
      </c>
      <c r="AK41" s="39" t="n">
        <f aca="false">SUM(AK33:AK40)</f>
        <v>17103.8595478548</v>
      </c>
      <c r="AL41" s="39" t="n">
        <f aca="false">SUM(AL33:AL40)</f>
        <v>17945.1279757534</v>
      </c>
    </row>
    <row r="42" customFormat="false" ht="15" hidden="false" customHeight="false" outlineLevel="0" collapsed="false">
      <c r="A42" s="13" t="s">
        <v>216</v>
      </c>
      <c r="B42" s="49" t="s">
        <v>200</v>
      </c>
      <c r="C42" s="57" t="n">
        <f aca="false">C41-C41/(1+Hypothèses!$B$10*Hypothèses!$B$11)</f>
        <v>70.3395035208711</v>
      </c>
      <c r="D42" s="57" t="n">
        <f aca="false">D41-D41/(1+Hypothèses!$B$10*Hypothèses!$B$11)</f>
        <v>100.023177609437</v>
      </c>
      <c r="E42" s="57" t="n">
        <f aca="false">E41-E41/(1+Hypothèses!$B$10*Hypothèses!$B$11)</f>
        <v>131.338884693641</v>
      </c>
      <c r="F42" s="57" t="n">
        <f aca="false">F41-F41/(1+Hypothèses!$B$10*Hypothèses!$B$11)</f>
        <v>164.439969310041</v>
      </c>
      <c r="G42" s="57" t="n">
        <f aca="false">G41-G41/(1+Hypothèses!$B$10*Hypothèses!$B$11)</f>
        <v>199.491302225353</v>
      </c>
      <c r="H42" s="57" t="n">
        <f aca="false">H41-H41/(1+Hypothèses!$B$10*Hypothèses!$B$11)</f>
        <v>241.842639495396</v>
      </c>
      <c r="I42" s="57" t="n">
        <f aca="false">I41-I41/(1+Hypothèses!$B$10*Hypothèses!$B$11)</f>
        <v>281.75378042386</v>
      </c>
      <c r="J42" s="57" t="n">
        <f aca="false">J41-J41/(1+Hypothèses!$B$10*Hypothèses!$B$11)</f>
        <v>324.221875256358</v>
      </c>
      <c r="K42" s="57" t="n">
        <f aca="false">K41-K41/(1+Hypothèses!$B$10*Hypothèses!$B$11)</f>
        <v>369.470778752138</v>
      </c>
      <c r="L42" s="57" t="n">
        <f aca="false">L41-L41/(1+Hypothèses!$B$10*Hypothèses!$B$11)</f>
        <v>417.74162022461</v>
      </c>
      <c r="M42" s="57" t="n">
        <f aca="false">M41-M41/(1+Hypothèses!$B$10*Hypothèses!$B$11)</f>
        <v>469.294204632716</v>
      </c>
      <c r="N42" s="57" t="n">
        <f aca="false">N41-N41/(1+Hypothèses!$B$10*Hypothèses!$B$11)</f>
        <v>529.580938815414</v>
      </c>
      <c r="O42" s="57" t="n">
        <f aca="false">O41-O41/(1+Hypothèses!$B$10*Hypothèses!$B$11)</f>
        <v>586.245160268978</v>
      </c>
      <c r="P42" s="57" t="n">
        <f aca="false">P41-P41/(1+Hypothèses!$B$10*Hypothèses!$B$11)</f>
        <v>644.16032616767</v>
      </c>
      <c r="Q42" s="57" t="n">
        <f aca="false">Q41-Q41/(1+Hypothèses!$B$10*Hypothèses!$B$11)</f>
        <v>703.413193210142</v>
      </c>
      <c r="R42" s="57" t="n">
        <f aca="false">R41-R41/(1+Hypothèses!$B$10*Hypothèses!$B$11)</f>
        <v>764.093248784161</v>
      </c>
      <c r="S42" s="57" t="n">
        <f aca="false">S41-S41/(1+Hypothèses!$B$10*Hypothèses!$B$11)</f>
        <v>826.292876997723</v>
      </c>
      <c r="T42" s="57" t="n">
        <f aca="false">T41-T41/(1+Hypothèses!$B$10*Hypothèses!$B$11)</f>
        <v>897.004083783217</v>
      </c>
      <c r="U42" s="57" t="n">
        <f aca="false">U41-U41/(1+Hypothèses!$B$10*Hypothèses!$B$11)</f>
        <v>963.084195346841</v>
      </c>
      <c r="V42" s="57" t="n">
        <f aca="false">V41-V41/(1+Hypothèses!$B$10*Hypothèses!$B$11)</f>
        <v>1031.02432357492</v>
      </c>
      <c r="W42" s="57" t="n">
        <f aca="false">W41-W41/(1+Hypothèses!$B$10*Hypothèses!$B$11)</f>
        <v>1100.93378514363</v>
      </c>
      <c r="X42" s="57" t="n">
        <f aca="false">X41-X41/(1+Hypothèses!$B$10*Hypothèses!$B$11)</f>
        <v>1172.92602635354</v>
      </c>
      <c r="Y42" s="57" t="n">
        <f aca="false">Y41-Y41/(1+Hypothèses!$B$10*Hypothèses!$B$11)</f>
        <v>1247.11886365553</v>
      </c>
      <c r="Z42" s="57" t="n">
        <f aca="false">Z41-Z41/(1+Hypothèses!$B$10*Hypothèses!$B$11)</f>
        <v>1323.63473669088</v>
      </c>
      <c r="AA42" s="57" t="n">
        <f aca="false">AA41-AA41/(1+Hypothèses!$B$10*Hypothèses!$B$11)</f>
        <v>1402.60097467964</v>
      </c>
      <c r="AB42" s="57" t="n">
        <f aca="false">AB41-AB41/(1+Hypothèses!$B$10*Hypothèses!$B$11)</f>
        <v>1484.15007704794</v>
      </c>
      <c r="AC42" s="57" t="n">
        <f aca="false">AC41-AC41/(1+Hypothèses!$B$10*Hypothèses!$B$11)</f>
        <v>1568.42000924476</v>
      </c>
      <c r="AD42" s="57" t="n">
        <f aca="false">AD41-AD41/(1+Hypothèses!$B$10*Hypothèses!$B$11)</f>
        <v>1655.55451476422</v>
      </c>
      <c r="AE42" s="57" t="n">
        <f aca="false">AE41-AE41/(1+Hypothèses!$B$10*Hypothèses!$B$11)</f>
        <v>1745.70344445876</v>
      </c>
      <c r="AF42" s="57" t="n">
        <f aca="false">AF41-AF41/(1+Hypothèses!$B$10*Hypothèses!$B$11)</f>
        <v>1839.02310430403</v>
      </c>
      <c r="AG42" s="57" t="n">
        <f aca="false">AG41-AG41/(1+Hypothèses!$B$10*Hypothèses!$B$11)</f>
        <v>1935.67662285659</v>
      </c>
      <c r="AH42" s="57" t="n">
        <f aca="false">AH41-AH41/(1+Hypothèses!$B$10*Hypothèses!$B$11)</f>
        <v>2035.8343397327</v>
      </c>
      <c r="AI42" s="57" t="n">
        <f aca="false">AI41-AI41/(1+Hypothèses!$B$10*Hypothèses!$B$11)</f>
        <v>2139.6742165295</v>
      </c>
      <c r="AJ42" s="57" t="n">
        <f aca="false">AJ41-AJ41/(1+Hypothèses!$B$10*Hypothèses!$B$11)</f>
        <v>2247.38227171025</v>
      </c>
      <c r="AK42" s="57" t="n">
        <f aca="false">AK41-AK41/(1+Hypothèses!$B$10*Hypothèses!$B$11)</f>
        <v>2359.15304108342</v>
      </c>
      <c r="AL42" s="57" t="n">
        <f aca="false">AL41-AL41/(1+Hypothèses!$B$10*Hypothèses!$B$11)</f>
        <v>2475.19006562115</v>
      </c>
    </row>
    <row r="43" customFormat="false" ht="15" hidden="false" customHeight="false" outlineLevel="0" collapsed="false">
      <c r="A43" s="54" t="s">
        <v>217</v>
      </c>
      <c r="B43" s="55" t="s">
        <v>200</v>
      </c>
      <c r="C43" s="39" t="n">
        <f aca="false">C41-C42</f>
        <v>439.621897005445</v>
      </c>
      <c r="D43" s="39" t="n">
        <f aca="false">D41-D42</f>
        <v>625.144860058984</v>
      </c>
      <c r="E43" s="39" t="n">
        <f aca="false">E41-E42</f>
        <v>820.868029335254</v>
      </c>
      <c r="F43" s="39" t="n">
        <f aca="false">F41-F42</f>
        <v>1027.74980818776</v>
      </c>
      <c r="G43" s="39" t="n">
        <f aca="false">G41-G42</f>
        <v>1246.82063890846</v>
      </c>
      <c r="H43" s="39" t="n">
        <f aca="false">H41-H42</f>
        <v>1511.51649684623</v>
      </c>
      <c r="I43" s="39" t="n">
        <f aca="false">I41-I42</f>
        <v>1760.96112764913</v>
      </c>
      <c r="J43" s="39" t="n">
        <f aca="false">J41-J42</f>
        <v>2026.38672035224</v>
      </c>
      <c r="K43" s="39" t="n">
        <f aca="false">K41-K42</f>
        <v>2309.19236720087</v>
      </c>
      <c r="L43" s="39" t="n">
        <f aca="false">L41-L42</f>
        <v>2610.88512640382</v>
      </c>
      <c r="M43" s="39" t="n">
        <f aca="false">M41-M42</f>
        <v>2933.08877895448</v>
      </c>
      <c r="N43" s="39" t="n">
        <f aca="false">N41-N42</f>
        <v>3309.88086759634</v>
      </c>
      <c r="O43" s="39" t="n">
        <f aca="false">O41-O42</f>
        <v>3664.03225168111</v>
      </c>
      <c r="P43" s="39" t="n">
        <f aca="false">P41-P42</f>
        <v>4026.00203854794</v>
      </c>
      <c r="Q43" s="39" t="n">
        <f aca="false">Q41-Q42</f>
        <v>4396.33245756339</v>
      </c>
      <c r="R43" s="39" t="n">
        <f aca="false">R41-R42</f>
        <v>4775.58280490101</v>
      </c>
      <c r="S43" s="39" t="n">
        <f aca="false">S41-S42</f>
        <v>5164.33048123577</v>
      </c>
      <c r="T43" s="39" t="n">
        <f aca="false">T41-T42</f>
        <v>5606.27552364511</v>
      </c>
      <c r="U43" s="39" t="n">
        <f aca="false">U41-U42</f>
        <v>6019.27622091776</v>
      </c>
      <c r="V43" s="39" t="n">
        <f aca="false">V41-V42</f>
        <v>6443.90202234327</v>
      </c>
      <c r="W43" s="39" t="n">
        <f aca="false">W41-W42</f>
        <v>6880.8361571477</v>
      </c>
      <c r="X43" s="39" t="n">
        <f aca="false">X41-X42</f>
        <v>7330.78766470963</v>
      </c>
      <c r="Y43" s="39" t="n">
        <f aca="false">Y41-Y42</f>
        <v>7794.49289784709</v>
      </c>
      <c r="Z43" s="39" t="n">
        <f aca="false">Z41-Z42</f>
        <v>8272.71710431798</v>
      </c>
      <c r="AA43" s="39" t="n">
        <f aca="false">AA41-AA42</f>
        <v>8766.25609174777</v>
      </c>
      <c r="AB43" s="39" t="n">
        <f aca="false">AB41-AB42</f>
        <v>9275.93798154964</v>
      </c>
      <c r="AC43" s="39" t="n">
        <f aca="false">AC41-AC42</f>
        <v>9802.62505777977</v>
      </c>
      <c r="AD43" s="39" t="n">
        <f aca="false">AD41-AD42</f>
        <v>10347.2157172764</v>
      </c>
      <c r="AE43" s="39" t="n">
        <f aca="false">AE41-AE42</f>
        <v>10910.6465278673</v>
      </c>
      <c r="AF43" s="39" t="n">
        <f aca="false">AF41-AF42</f>
        <v>11493.8944019002</v>
      </c>
      <c r="AG43" s="39" t="n">
        <f aca="false">AG41-AG42</f>
        <v>12097.9788928537</v>
      </c>
      <c r="AH43" s="39" t="n">
        <f aca="false">AH41-AH42</f>
        <v>12723.9646233294</v>
      </c>
      <c r="AI43" s="39" t="n">
        <f aca="false">AI41-AI42</f>
        <v>13372.9638533094</v>
      </c>
      <c r="AJ43" s="39" t="n">
        <f aca="false">AJ41-AJ42</f>
        <v>14046.1391981891</v>
      </c>
      <c r="AK43" s="39" t="n">
        <f aca="false">AK41-AK42</f>
        <v>14744.7065067714</v>
      </c>
      <c r="AL43" s="39" t="n">
        <f aca="false">AL41-AL42</f>
        <v>15469.9379101322</v>
      </c>
    </row>
    <row r="45" customFormat="false" ht="15" hidden="false" customHeight="false" outlineLevel="0" collapsed="false">
      <c r="A45" s="19" t="s">
        <v>218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customFormat="false" ht="15" hidden="false" customHeight="false" outlineLevel="0" collapsed="false">
      <c r="A46" s="13" t="s">
        <v>219</v>
      </c>
      <c r="B46" s="49" t="s">
        <v>200</v>
      </c>
      <c r="C46" s="57" t="n">
        <f aca="false">C28*Hypothèses!$B$20</f>
        <v>154.41888</v>
      </c>
      <c r="D46" s="57" t="n">
        <f aca="false">D28*Hypothèses!$B$20</f>
        <v>223.1295456</v>
      </c>
      <c r="E46" s="57" t="n">
        <f aca="false">E28*Hypothèses!$B$20</f>
        <v>295.646349792</v>
      </c>
      <c r="F46" s="57" t="n">
        <f aca="false">F28*Hypothèses!$B$20</f>
        <v>372.32450510304</v>
      </c>
      <c r="G46" s="57" t="n">
        <f aca="false">G28*Hypothèses!$B$20</f>
        <v>453.546119419133</v>
      </c>
      <c r="H46" s="57" t="n">
        <f aca="false">H28*Hypothèses!$B$20</f>
        <v>539.722393263278</v>
      </c>
      <c r="I46" s="57" t="n">
        <f aca="false">I28*Hypothèses!$B$20</f>
        <v>631.295991486236</v>
      </c>
      <c r="J46" s="57" t="n">
        <f aca="false">J28*Hypothèses!$B$20</f>
        <v>728.743603364173</v>
      </c>
      <c r="K46" s="57" t="n">
        <f aca="false">K28*Hypothèses!$B$20</f>
        <v>832.578706215575</v>
      </c>
      <c r="L46" s="57" t="n">
        <f aca="false">L28*Hypothèses!$B$20</f>
        <v>943.35454885762</v>
      </c>
      <c r="M46" s="57" t="n">
        <f aca="false">M28*Hypothèses!$B$20</f>
        <v>1061.66737252669</v>
      </c>
      <c r="N46" s="57" t="n">
        <f aca="false">N28*Hypothèses!$B$20</f>
        <v>1188.15988829646</v>
      </c>
      <c r="O46" s="57" t="n">
        <f aca="false">O28*Hypothèses!$B$20</f>
        <v>1317.19133007097</v>
      </c>
      <c r="P46" s="57" t="n">
        <f aca="false">P28*Hypothèses!$B$20</f>
        <v>1448.93887812918</v>
      </c>
      <c r="Q46" s="57" t="n">
        <f aca="false">Q28*Hypothèses!$B$20</f>
        <v>1583.58453126405</v>
      </c>
      <c r="R46" s="57" t="n">
        <f aca="false">R28*Hypothèses!$B$20</f>
        <v>1721.31536758403</v>
      </c>
      <c r="S46" s="57" t="n">
        <f aca="false">S28*Hypothèses!$B$20</f>
        <v>1862.32381370473</v>
      </c>
      <c r="T46" s="57" t="n">
        <f aca="false">T28*Hypothèses!$B$20</f>
        <v>2006.80792272773</v>
      </c>
      <c r="U46" s="57" t="n">
        <f aca="false">U28*Hypothèses!$B$20</f>
        <v>2154.97166141741</v>
      </c>
      <c r="V46" s="57" t="n">
        <f aca="false">V28*Hypothèses!$B$20</f>
        <v>2307.02520700126</v>
      </c>
      <c r="W46" s="57" t="n">
        <f aca="false">W28*Hypothèses!$B$20</f>
        <v>2463.18525403464</v>
      </c>
      <c r="X46" s="57" t="n">
        <f aca="false">X28*Hypothèses!$B$20</f>
        <v>2623.67533178677</v>
      </c>
      <c r="Y46" s="57" t="n">
        <f aca="false">Y28*Hypothèses!$B$20</f>
        <v>2788.72613262125</v>
      </c>
      <c r="Z46" s="57" t="n">
        <f aca="false">Z28*Hypothèses!$B$20</f>
        <v>2958.57585186223</v>
      </c>
      <c r="AA46" s="57" t="n">
        <f aca="false">AA28*Hypothèses!$B$20</f>
        <v>3133.47053965476</v>
      </c>
      <c r="AB46" s="57" t="n">
        <f aca="false">AB28*Hypothèses!$B$20</f>
        <v>3313.66446534745</v>
      </c>
      <c r="AC46" s="57" t="n">
        <f aca="false">AC28*Hypothèses!$B$20</f>
        <v>3499.42049494465</v>
      </c>
      <c r="AD46" s="57" t="n">
        <f aca="false">AD28*Hypothèses!$B$20</f>
        <v>3691.01048219625</v>
      </c>
      <c r="AE46" s="57" t="n">
        <f aca="false">AE28*Hypothèses!$B$20</f>
        <v>3888.71567391429</v>
      </c>
      <c r="AF46" s="57" t="n">
        <f aca="false">AF28*Hypothèses!$B$20</f>
        <v>4092.82713012814</v>
      </c>
      <c r="AG46" s="57" t="n">
        <f aca="false">AG28*Hypothèses!$B$20</f>
        <v>4303.64615971284</v>
      </c>
      <c r="AH46" s="57" t="n">
        <f aca="false">AH28*Hypothèses!$B$20</f>
        <v>4521.48477214953</v>
      </c>
      <c r="AI46" s="57" t="n">
        <f aca="false">AI28*Hypothèses!$B$20</f>
        <v>4746.66614610225</v>
      </c>
      <c r="AJ46" s="57" t="n">
        <f aca="false">AJ28*Hypothèses!$B$20</f>
        <v>4979.52511552107</v>
      </c>
      <c r="AK46" s="57" t="n">
        <f aca="false">AK28*Hypothèses!$B$20</f>
        <v>5220.4086740094</v>
      </c>
      <c r="AL46" s="57" t="n">
        <f aca="false">AL28*Hypothèses!$B$20</f>
        <v>5469.67649822125</v>
      </c>
    </row>
    <row r="47" customFormat="false" ht="15" hidden="false" customHeight="false" outlineLevel="0" collapsed="false">
      <c r="A47" s="13" t="s">
        <v>220</v>
      </c>
      <c r="B47" s="49" t="s">
        <v>200</v>
      </c>
      <c r="C47" s="57" t="n">
        <f aca="false">(C21+C22+C27)*Hypothèses!$B$17</f>
        <v>0</v>
      </c>
      <c r="D47" s="57" t="n">
        <f aca="false">(D21+D22+D27)*Hypothèses!$B$17</f>
        <v>0</v>
      </c>
      <c r="E47" s="57" t="n">
        <f aca="false">(E21+E22+E27)*Hypothèses!$B$17</f>
        <v>0</v>
      </c>
      <c r="F47" s="57" t="n">
        <f aca="false">(F21+F22+F27)*Hypothèses!$B$17</f>
        <v>0</v>
      </c>
      <c r="G47" s="57" t="n">
        <f aca="false">(G21+G22+G27)*Hypothèses!$B$17</f>
        <v>0</v>
      </c>
      <c r="H47" s="57" t="n">
        <f aca="false">(H21+H22+H27)*Hypothèses!$B$17</f>
        <v>0</v>
      </c>
      <c r="I47" s="57" t="n">
        <f aca="false">(I21+I22+I27)*Hypothèses!$B$17</f>
        <v>0</v>
      </c>
      <c r="J47" s="57" t="n">
        <f aca="false">(J21+J22+J27)*Hypothèses!$B$17</f>
        <v>0</v>
      </c>
      <c r="K47" s="57" t="n">
        <f aca="false">(K21+K22+K27)*Hypothèses!$B$17</f>
        <v>0</v>
      </c>
      <c r="L47" s="57" t="n">
        <f aca="false">(L21+L22+L27)*Hypothèses!$B$17</f>
        <v>0</v>
      </c>
      <c r="M47" s="57" t="n">
        <f aca="false">(M21+M22+M27)*Hypothèses!$B$17</f>
        <v>0</v>
      </c>
      <c r="N47" s="57" t="n">
        <f aca="false">(N21+N22+N27)*Hypothèses!$B$17</f>
        <v>0</v>
      </c>
      <c r="O47" s="57" t="n">
        <f aca="false">(O21+O22+O27)*Hypothèses!$B$17</f>
        <v>0</v>
      </c>
      <c r="P47" s="57" t="n">
        <f aca="false">(P21+P22+P27)*Hypothèses!$B$17</f>
        <v>0</v>
      </c>
      <c r="Q47" s="57" t="n">
        <f aca="false">(Q21+Q22+Q27)*Hypothèses!$B$17</f>
        <v>0</v>
      </c>
      <c r="R47" s="57" t="n">
        <f aca="false">(R21+R22+R27)*Hypothèses!$B$17</f>
        <v>0</v>
      </c>
      <c r="S47" s="57" t="n">
        <f aca="false">(S21+S22+S27)*Hypothèses!$B$17</f>
        <v>0</v>
      </c>
      <c r="T47" s="57" t="n">
        <f aca="false">(T21+T22+T27)*Hypothèses!$B$17</f>
        <v>0</v>
      </c>
      <c r="U47" s="57" t="n">
        <f aca="false">(U21+U22+U27)*Hypothèses!$B$17</f>
        <v>0</v>
      </c>
      <c r="V47" s="57" t="n">
        <f aca="false">(V21+V22+V27)*Hypothèses!$B$17</f>
        <v>0</v>
      </c>
      <c r="W47" s="57" t="n">
        <f aca="false">(W21+W22+W27)*Hypothèses!$B$17</f>
        <v>0</v>
      </c>
      <c r="X47" s="57" t="n">
        <f aca="false">(X21+X22+X27)*Hypothèses!$B$17</f>
        <v>0</v>
      </c>
      <c r="Y47" s="57" t="n">
        <f aca="false">(Y21+Y22+Y27)*Hypothèses!$B$17</f>
        <v>0</v>
      </c>
      <c r="Z47" s="57" t="n">
        <f aca="false">(Z21+Z22+Z27)*Hypothèses!$B$17</f>
        <v>0</v>
      </c>
      <c r="AA47" s="57" t="n">
        <f aca="false">(AA21+AA22+AA27)*Hypothèses!$B$17</f>
        <v>0</v>
      </c>
      <c r="AB47" s="57" t="n">
        <f aca="false">(AB21+AB22+AB27)*Hypothèses!$B$17</f>
        <v>0</v>
      </c>
      <c r="AC47" s="57" t="n">
        <f aca="false">(AC21+AC22+AC27)*Hypothèses!$B$17</f>
        <v>0</v>
      </c>
      <c r="AD47" s="57" t="n">
        <f aca="false">(AD21+AD22+AD27)*Hypothèses!$B$17</f>
        <v>0</v>
      </c>
      <c r="AE47" s="57" t="n">
        <f aca="false">(AE21+AE22+AE27)*Hypothèses!$B$17</f>
        <v>0</v>
      </c>
      <c r="AF47" s="57" t="n">
        <f aca="false">(AF21+AF22+AF27)*Hypothèses!$B$17</f>
        <v>0</v>
      </c>
      <c r="AG47" s="57" t="n">
        <f aca="false">(AG21+AG22+AG27)*Hypothèses!$B$17</f>
        <v>0</v>
      </c>
      <c r="AH47" s="57" t="n">
        <f aca="false">(AH21+AH22+AH27)*Hypothèses!$B$17</f>
        <v>0</v>
      </c>
      <c r="AI47" s="57" t="n">
        <f aca="false">(AI21+AI22+AI27)*Hypothèses!$B$17</f>
        <v>0</v>
      </c>
      <c r="AJ47" s="57" t="n">
        <f aca="false">(AJ21+AJ22+AJ27)*Hypothèses!$B$17</f>
        <v>0</v>
      </c>
      <c r="AK47" s="57" t="n">
        <f aca="false">(AK21+AK22+AK27)*Hypothèses!$B$17</f>
        <v>0</v>
      </c>
      <c r="AL47" s="57" t="n">
        <f aca="false">(AL21+AL22+AL27)*Hypothèses!$B$17</f>
        <v>0</v>
      </c>
    </row>
    <row r="48" customFormat="false" ht="15" hidden="false" customHeight="false" outlineLevel="0" collapsed="false">
      <c r="A48" s="13" t="s">
        <v>221</v>
      </c>
      <c r="B48" s="49" t="s">
        <v>200</v>
      </c>
      <c r="C48" s="57" t="n">
        <f aca="false">C18/1000*Hypothèses!$B$60</f>
        <v>1.6702</v>
      </c>
      <c r="D48" s="57" t="n">
        <f aca="false">D18/1000*Hypothèses!$B$60</f>
        <v>2.509054</v>
      </c>
      <c r="E48" s="57" t="n">
        <f aca="false">E18/1000*Hypothèses!$B$60</f>
        <v>3.38063518</v>
      </c>
      <c r="F48" s="57" t="n">
        <f aca="false">F18/1000*Hypothèses!$B$60</f>
        <v>4.2892543486</v>
      </c>
      <c r="G48" s="57" t="n">
        <f aca="false">G18/1000*Hypothèses!$B$60</f>
        <v>5.239483340062</v>
      </c>
      <c r="H48" s="57" t="n">
        <f aca="false">H18/1000*Hypothèses!$B$60</f>
        <v>6.23618006453374</v>
      </c>
      <c r="I48" s="57" t="n">
        <f aca="false">I18/1000*Hypothèses!$B$60</f>
        <v>7.28451535459522</v>
      </c>
      <c r="J48" s="57" t="n">
        <f aca="false">J18/1000*Hypothèses!$B$60</f>
        <v>8.39000176219715</v>
      </c>
      <c r="K48" s="57" t="n">
        <f aca="false">K18/1000*Hypothèses!$B$60</f>
        <v>9.55852447186858</v>
      </c>
      <c r="L48" s="57" t="n">
        <f aca="false">L18/1000*Hypothèses!$B$60</f>
        <v>10.7963745088493</v>
      </c>
      <c r="M48" s="57" t="n">
        <f aca="false">M18/1000*Hypothèses!$B$60</f>
        <v>12.1102844346282</v>
      </c>
      <c r="N48" s="57" t="n">
        <f aca="false">N18/1000*Hypothèses!$B$60</f>
        <v>13.5074667373231</v>
      </c>
      <c r="O48" s="57" t="n">
        <f aca="false">O18/1000*Hypothèses!$B$60</f>
        <v>14.9161928834917</v>
      </c>
      <c r="P48" s="57" t="n">
        <f aca="false">P18/1000*Hypothèses!$B$60</f>
        <v>16.3391029463757</v>
      </c>
      <c r="Q48" s="57" t="n">
        <f aca="false">Q18/1000*Hypothèses!$B$60</f>
        <v>17.7788348517594</v>
      </c>
      <c r="R48" s="57" t="n">
        <f aca="false">R18/1000*Hypothèses!$B$60</f>
        <v>19.2380296446225</v>
      </c>
      <c r="S48" s="57" t="n">
        <f aca="false">S18/1000*Hypothèses!$B$60</f>
        <v>20.7193366998818</v>
      </c>
      <c r="T48" s="57" t="n">
        <f aca="false">T18/1000*Hypothèses!$B$60</f>
        <v>22.2254188882806</v>
      </c>
      <c r="U48" s="57" t="n">
        <f aca="false">U18/1000*Hypothèses!$B$60</f>
        <v>23.7589577082657</v>
      </c>
      <c r="V48" s="57" t="n">
        <f aca="false">V18/1000*Hypothèses!$B$60</f>
        <v>25.3226583944961</v>
      </c>
      <c r="W48" s="57" t="n">
        <f aca="false">W18/1000*Hypothèses!$B$60</f>
        <v>26.9192550134491</v>
      </c>
      <c r="X48" s="57" t="n">
        <f aca="false">X18/1000*Hypothèses!$B$60</f>
        <v>28.551515556445</v>
      </c>
      <c r="Y48" s="57" t="n">
        <f aca="false">Y18/1000*Hypothèses!$B$60</f>
        <v>30.222247040278</v>
      </c>
      <c r="Z48" s="57" t="n">
        <f aca="false">Z18/1000*Hypothèses!$B$60</f>
        <v>31.9343006255384</v>
      </c>
      <c r="AA48" s="57" t="n">
        <f aca="false">AA18/1000*Hypothèses!$B$60</f>
        <v>33.6905767626251</v>
      </c>
      <c r="AB48" s="57" t="n">
        <f aca="false">AB18/1000*Hypothèses!$B$60</f>
        <v>35.4940303753823</v>
      </c>
      <c r="AC48" s="57" t="n">
        <f aca="false">AC18/1000*Hypothèses!$B$60</f>
        <v>37.3476760922539</v>
      </c>
      <c r="AD48" s="57" t="n">
        <f aca="false">AD18/1000*Hypothèses!$B$60</f>
        <v>39.2545935348227</v>
      </c>
      <c r="AE48" s="57" t="n">
        <f aca="false">AE18/1000*Hypothèses!$B$60</f>
        <v>41.217932673602</v>
      </c>
      <c r="AF48" s="57" t="n">
        <f aca="false">AF18/1000*Hypothèses!$B$60</f>
        <v>43.2409192609614</v>
      </c>
      <c r="AG48" s="57" t="n">
        <f aca="false">AG18/1000*Hypothèses!$B$60</f>
        <v>45.3268603511055</v>
      </c>
      <c r="AH48" s="57" t="n">
        <f aca="false">AH18/1000*Hypothèses!$B$60</f>
        <v>47.479149917082</v>
      </c>
      <c r="AI48" s="57" t="n">
        <f aca="false">AI18/1000*Hypothèses!$B$60</f>
        <v>49.7012745748664</v>
      </c>
      <c r="AJ48" s="57" t="n">
        <f aca="false">AJ18/1000*Hypothèses!$B$60</f>
        <v>51.9968194246697</v>
      </c>
      <c r="AK48" s="57" t="n">
        <f aca="false">AK18/1000*Hypothèses!$B$60</f>
        <v>54.3694740197244</v>
      </c>
      <c r="AL48" s="57" t="n">
        <f aca="false">AL18/1000*Hypothèses!$B$60</f>
        <v>56.8230384729395</v>
      </c>
    </row>
    <row r="49" customFormat="false" ht="15" hidden="false" customHeight="false" outlineLevel="0" collapsed="false">
      <c r="A49" s="13" t="s">
        <v>222</v>
      </c>
      <c r="B49" s="49" t="s">
        <v>200</v>
      </c>
      <c r="C49" s="57" t="n">
        <f aca="false">(C9+C12+C14)*Hypothèses!$B$62*Hypothèses!$B$61</f>
        <v>19.17</v>
      </c>
      <c r="D49" s="57" t="n">
        <f aca="false">(D9+D12+D14)*Hypothèses!$B$62*Hypothèses!$B$61</f>
        <v>20.7036</v>
      </c>
      <c r="E49" s="57" t="n">
        <f aca="false">(E9+E12+E14)*Hypothèses!$B$62*Hypothèses!$B$61</f>
        <v>22.359888</v>
      </c>
      <c r="F49" s="57" t="n">
        <f aca="false">(F9+F12+F14)*Hypothèses!$B$62*Hypothèses!$B$61</f>
        <v>24.14867904</v>
      </c>
      <c r="G49" s="57" t="n">
        <f aca="false">(G9+G12+G14)*Hypothèses!$B$62*Hypothèses!$B$61</f>
        <v>26.0805733632</v>
      </c>
      <c r="H49" s="57" t="n">
        <f aca="false">(H9+H12+H14)*Hypothèses!$B$62*Hypothèses!$B$61</f>
        <v>28.167019232256</v>
      </c>
      <c r="I49" s="57" t="n">
        <f aca="false">(I9+I12+I14)*Hypothèses!$B$62*Hypothèses!$B$61</f>
        <v>30.4203807708365</v>
      </c>
      <c r="J49" s="57" t="n">
        <f aca="false">(J9+J12+J14)*Hypothèses!$B$62*Hypothèses!$B$61</f>
        <v>32.8540112325034</v>
      </c>
      <c r="K49" s="57" t="n">
        <f aca="false">(K9+K12+K14)*Hypothèses!$B$62*Hypothèses!$B$61</f>
        <v>35.4823321311037</v>
      </c>
      <c r="L49" s="57" t="n">
        <f aca="false">(L9+L12+L14)*Hypothèses!$B$62*Hypothèses!$B$61</f>
        <v>38.320918701592</v>
      </c>
      <c r="M49" s="57" t="n">
        <f aca="false">(M9+M12+M14)*Hypothèses!$B$62*Hypothèses!$B$61</f>
        <v>41.3865921977193</v>
      </c>
      <c r="N49" s="57" t="n">
        <f aca="false">(N9+N12+N14)*Hypothèses!$B$62*Hypothèses!$B$61</f>
        <v>44.6975195735369</v>
      </c>
      <c r="O49" s="57" t="n">
        <f aca="false">(O9+O12+O14)*Hypothèses!$B$62*Hypothèses!$B$61</f>
        <v>46.4854203564784</v>
      </c>
      <c r="P49" s="57" t="n">
        <f aca="false">(P9+P12+P14)*Hypothèses!$B$62*Hypothèses!$B$61</f>
        <v>48.3448371707375</v>
      </c>
      <c r="Q49" s="57" t="n">
        <f aca="false">(Q9+Q12+Q14)*Hypothèses!$B$62*Hypothèses!$B$61</f>
        <v>50.278630657567</v>
      </c>
      <c r="R49" s="57" t="n">
        <f aca="false">(R9+R12+R14)*Hypothèses!$B$62*Hypothèses!$B$61</f>
        <v>52.2897758838697</v>
      </c>
      <c r="S49" s="57" t="n">
        <f aca="false">(S9+S12+S14)*Hypothèses!$B$62*Hypothèses!$B$61</f>
        <v>54.3813669192245</v>
      </c>
      <c r="T49" s="57" t="n">
        <f aca="false">(T9+T12+T14)*Hypothèses!$B$62*Hypothèses!$B$61</f>
        <v>56.5566215959935</v>
      </c>
      <c r="U49" s="57" t="n">
        <f aca="false">(U9+U12+U14)*Hypothèses!$B$62*Hypothèses!$B$61</f>
        <v>58.8188864598332</v>
      </c>
      <c r="V49" s="57" t="n">
        <f aca="false">(V9+V12+V14)*Hypothèses!$B$62*Hypothèses!$B$61</f>
        <v>61.1716419182265</v>
      </c>
      <c r="W49" s="57" t="n">
        <f aca="false">(W9+W12+W14)*Hypothèses!$B$62*Hypothèses!$B$61</f>
        <v>63.6185075949556</v>
      </c>
      <c r="X49" s="57" t="n">
        <f aca="false">(X9+X12+X14)*Hypothèses!$B$62*Hypothèses!$B$61</f>
        <v>66.1632478987538</v>
      </c>
      <c r="Y49" s="57" t="n">
        <f aca="false">(Y9+Y12+Y14)*Hypothèses!$B$62*Hypothèses!$B$61</f>
        <v>68.809777814704</v>
      </c>
      <c r="Z49" s="57" t="n">
        <f aca="false">(Z9+Z12+Z14)*Hypothèses!$B$62*Hypothèses!$B$61</f>
        <v>71.5621689272922</v>
      </c>
      <c r="AA49" s="57" t="n">
        <f aca="false">(AA9+AA12+AA14)*Hypothèses!$B$62*Hypothèses!$B$61</f>
        <v>74.4246556843838</v>
      </c>
      <c r="AB49" s="57" t="n">
        <f aca="false">(AB9+AB12+AB14)*Hypothèses!$B$62*Hypothèses!$B$61</f>
        <v>77.4016419117592</v>
      </c>
      <c r="AC49" s="57" t="n">
        <f aca="false">(AC9+AC12+AC14)*Hypothèses!$B$62*Hypothèses!$B$61</f>
        <v>80.4977075882296</v>
      </c>
      <c r="AD49" s="57" t="n">
        <f aca="false">(AD9+AD12+AD14)*Hypothèses!$B$62*Hypothèses!$B$61</f>
        <v>83.7176158917588</v>
      </c>
      <c r="AE49" s="57" t="n">
        <f aca="false">(AE9+AE12+AE14)*Hypothèses!$B$62*Hypothèses!$B$61</f>
        <v>87.0663205274291</v>
      </c>
      <c r="AF49" s="57" t="n">
        <f aca="false">(AF9+AF12+AF14)*Hypothèses!$B$62*Hypothèses!$B$61</f>
        <v>90.5489733485263</v>
      </c>
      <c r="AG49" s="57" t="n">
        <f aca="false">(AG9+AG12+AG14)*Hypothèses!$B$62*Hypothèses!$B$61</f>
        <v>94.1709322824673</v>
      </c>
      <c r="AH49" s="57" t="n">
        <f aca="false">(AH9+AH12+AH14)*Hypothèses!$B$62*Hypothèses!$B$61</f>
        <v>97.937769573766</v>
      </c>
      <c r="AI49" s="57" t="n">
        <f aca="false">(AI9+AI12+AI14)*Hypothèses!$B$62*Hypothèses!$B$61</f>
        <v>101.855280356717</v>
      </c>
      <c r="AJ49" s="57" t="n">
        <f aca="false">(AJ9+AJ12+AJ14)*Hypothèses!$B$62*Hypothèses!$B$61</f>
        <v>105.929491570985</v>
      </c>
      <c r="AK49" s="57" t="n">
        <f aca="false">(AK9+AK12+AK14)*Hypothèses!$B$62*Hypothèses!$B$61</f>
        <v>110.166671233825</v>
      </c>
      <c r="AL49" s="57" t="n">
        <f aca="false">(AL9+AL12+AL14)*Hypothèses!$B$62*Hypothèses!$B$61</f>
        <v>114.573338083178</v>
      </c>
    </row>
    <row r="50" customFormat="false" ht="15" hidden="false" customHeight="false" outlineLevel="0" collapsed="false">
      <c r="A50" s="13" t="s">
        <v>223</v>
      </c>
      <c r="B50" s="49" t="s">
        <v>200</v>
      </c>
      <c r="C50" s="57" t="n">
        <f aca="false">C9*Hypothèses!$B$63+C12*Hypothèses!$B$64+C14*Hypothèses!$B$65</f>
        <v>135</v>
      </c>
      <c r="D50" s="57" t="n">
        <f aca="false">D9*Hypothèses!$B$63+D12*Hypothèses!$B$64+D14*Hypothèses!$B$65</f>
        <v>145.8</v>
      </c>
      <c r="E50" s="57" t="n">
        <f aca="false">E9*Hypothèses!$B$63+E12*Hypothèses!$B$64+E14*Hypothèses!$B$65</f>
        <v>157.464</v>
      </c>
      <c r="F50" s="57" t="n">
        <f aca="false">F9*Hypothèses!$B$63+F12*Hypothèses!$B$64+F14*Hypothèses!$B$65</f>
        <v>170.06112</v>
      </c>
      <c r="G50" s="57" t="n">
        <f aca="false">G9*Hypothèses!$B$63+G12*Hypothèses!$B$64+G14*Hypothèses!$B$65</f>
        <v>183.6660096</v>
      </c>
      <c r="H50" s="57" t="n">
        <f aca="false">H9*Hypothèses!$B$63+H12*Hypothèses!$B$64+H14*Hypothèses!$B$65</f>
        <v>198.359290368</v>
      </c>
      <c r="I50" s="57" t="n">
        <f aca="false">I9*Hypothèses!$B$63+I12*Hypothèses!$B$64+I14*Hypothèses!$B$65</f>
        <v>214.22803359744</v>
      </c>
      <c r="J50" s="57" t="n">
        <f aca="false">J9*Hypothèses!$B$63+J12*Hypothèses!$B$64+J14*Hypothèses!$B$65</f>
        <v>231.366276285235</v>
      </c>
      <c r="K50" s="57" t="n">
        <f aca="false">K9*Hypothèses!$B$63+K12*Hypothèses!$B$64+K14*Hypothèses!$B$65</f>
        <v>249.875578388054</v>
      </c>
      <c r="L50" s="57" t="n">
        <f aca="false">L9*Hypothèses!$B$63+L12*Hypothèses!$B$64+L14*Hypothèses!$B$65</f>
        <v>269.865624659098</v>
      </c>
      <c r="M50" s="57" t="n">
        <f aca="false">M9*Hypothèses!$B$63+M12*Hypothèses!$B$64+M14*Hypothèses!$B$65</f>
        <v>291.454874631826</v>
      </c>
      <c r="N50" s="57" t="n">
        <f aca="false">N9*Hypothèses!$B$63+N12*Hypothèses!$B$64+N14*Hypothèses!$B$65</f>
        <v>314.771264602373</v>
      </c>
      <c r="O50" s="57" t="n">
        <f aca="false">O9*Hypothèses!$B$63+O12*Hypothèses!$B$64+O14*Hypothèses!$B$65</f>
        <v>327.362115186467</v>
      </c>
      <c r="P50" s="57" t="n">
        <f aca="false">P9*Hypothèses!$B$63+P12*Hypothèses!$B$64+P14*Hypothèses!$B$65</f>
        <v>340.456599793926</v>
      </c>
      <c r="Q50" s="57" t="n">
        <f aca="false">Q9*Hypothèses!$B$63+Q12*Hypothèses!$B$64+Q14*Hypothèses!$B$65</f>
        <v>354.074863785683</v>
      </c>
      <c r="R50" s="57" t="n">
        <f aca="false">R9*Hypothèses!$B$63+R12*Hypothèses!$B$64+R14*Hypothèses!$B$65</f>
        <v>368.237858337111</v>
      </c>
      <c r="S50" s="57" t="n">
        <f aca="false">S9*Hypothèses!$B$63+S12*Hypothèses!$B$64+S14*Hypothèses!$B$65</f>
        <v>382.967372670595</v>
      </c>
      <c r="T50" s="57" t="n">
        <f aca="false">T9*Hypothèses!$B$63+T12*Hypothèses!$B$64+T14*Hypothèses!$B$65</f>
        <v>398.286067577419</v>
      </c>
      <c r="U50" s="57" t="n">
        <f aca="false">U9*Hypothèses!$B$63+U12*Hypothèses!$B$64+U14*Hypothèses!$B$65</f>
        <v>414.217510280515</v>
      </c>
      <c r="V50" s="57" t="n">
        <f aca="false">V9*Hypothèses!$B$63+V12*Hypothèses!$B$64+V14*Hypothèses!$B$65</f>
        <v>430.786210691736</v>
      </c>
      <c r="W50" s="57" t="n">
        <f aca="false">W9*Hypothèses!$B$63+W12*Hypothèses!$B$64+W14*Hypothèses!$B$65</f>
        <v>448.017659119406</v>
      </c>
      <c r="X50" s="57" t="n">
        <f aca="false">X9*Hypothèses!$B$63+X12*Hypothèses!$B$64+X14*Hypothèses!$B$65</f>
        <v>465.938365484182</v>
      </c>
      <c r="Y50" s="57" t="n">
        <f aca="false">Y9*Hypothèses!$B$63+Y12*Hypothèses!$B$64+Y14*Hypothèses!$B$65</f>
        <v>484.575900103549</v>
      </c>
      <c r="Z50" s="57" t="n">
        <f aca="false">Z9*Hypothèses!$B$63+Z12*Hypothèses!$B$64+Z14*Hypothèses!$B$65</f>
        <v>503.958936107691</v>
      </c>
      <c r="AA50" s="57" t="n">
        <f aca="false">AA9*Hypothèses!$B$63+AA12*Hypothèses!$B$64+AA14*Hypothèses!$B$65</f>
        <v>524.117293551999</v>
      </c>
      <c r="AB50" s="57" t="n">
        <f aca="false">AB9*Hypothèses!$B$63+AB12*Hypothèses!$B$64+AB14*Hypothèses!$B$65</f>
        <v>545.081985294079</v>
      </c>
      <c r="AC50" s="57" t="n">
        <f aca="false">AC9*Hypothèses!$B$63+AC12*Hypothèses!$B$64+AC14*Hypothèses!$B$65</f>
        <v>566.885264705842</v>
      </c>
      <c r="AD50" s="57" t="n">
        <f aca="false">AD9*Hypothèses!$B$63+AD12*Hypothèses!$B$64+AD14*Hypothèses!$B$65</f>
        <v>589.560675294076</v>
      </c>
      <c r="AE50" s="57" t="n">
        <f aca="false">AE9*Hypothèses!$B$63+AE12*Hypothèses!$B$64+AE14*Hypothèses!$B$65</f>
        <v>613.143102305839</v>
      </c>
      <c r="AF50" s="57" t="n">
        <f aca="false">AF9*Hypothèses!$B$63+AF12*Hypothèses!$B$64+AF14*Hypothèses!$B$65</f>
        <v>637.668826398072</v>
      </c>
      <c r="AG50" s="57" t="n">
        <f aca="false">AG9*Hypothèses!$B$63+AG12*Hypothèses!$B$64+AG14*Hypothèses!$B$65</f>
        <v>663.175579453995</v>
      </c>
      <c r="AH50" s="57" t="n">
        <f aca="false">AH9*Hypothèses!$B$63+AH12*Hypothèses!$B$64+AH14*Hypothèses!$B$65</f>
        <v>689.702602632155</v>
      </c>
      <c r="AI50" s="57" t="n">
        <f aca="false">AI9*Hypothèses!$B$63+AI12*Hypothèses!$B$64+AI14*Hypothèses!$B$65</f>
        <v>717.290706737441</v>
      </c>
      <c r="AJ50" s="57" t="n">
        <f aca="false">AJ9*Hypothèses!$B$63+AJ12*Hypothèses!$B$64+AJ14*Hypothèses!$B$65</f>
        <v>745.982335006939</v>
      </c>
      <c r="AK50" s="57" t="n">
        <f aca="false">AK9*Hypothèses!$B$63+AK12*Hypothèses!$B$64+AK14*Hypothèses!$B$65</f>
        <v>775.821628407217</v>
      </c>
      <c r="AL50" s="57" t="n">
        <f aca="false">AL9*Hypothèses!$B$63+AL12*Hypothèses!$B$64+AL14*Hypothèses!$B$65</f>
        <v>806.854493543505</v>
      </c>
    </row>
    <row r="51" customFormat="false" ht="15" hidden="false" customHeight="false" outlineLevel="0" collapsed="false">
      <c r="A51" s="13" t="s">
        <v>224</v>
      </c>
      <c r="B51" s="49" t="s">
        <v>200</v>
      </c>
      <c r="C51" s="57" t="n">
        <f aca="false">Hypothèses!$B$55*(1+Hypothèses!$B$56)^(C$5-1)</f>
        <v>1977</v>
      </c>
      <c r="D51" s="57" t="n">
        <f aca="false">Hypothèses!$B$55*(1+Hypothèses!$B$56)^(D$5-1)</f>
        <v>1977</v>
      </c>
      <c r="E51" s="57" t="n">
        <f aca="false">Hypothèses!$B$55*(1+Hypothèses!$B$56)^(E$5-1)</f>
        <v>1977</v>
      </c>
      <c r="F51" s="57" t="n">
        <f aca="false">Hypothèses!$B$55*(1+Hypothèses!$B$56)^(F$5-1)</f>
        <v>1977</v>
      </c>
      <c r="G51" s="57" t="n">
        <f aca="false">Hypothèses!$B$55*(1+Hypothèses!$B$56)^(G$5-1)</f>
        <v>1977</v>
      </c>
      <c r="H51" s="57" t="n">
        <f aca="false">Hypothèses!$B$55*(1+Hypothèses!$B$56)^(H$5-1)</f>
        <v>1977</v>
      </c>
      <c r="I51" s="57" t="n">
        <f aca="false">Hypothèses!$B$55*(1+Hypothèses!$B$56)^(I$5-1)</f>
        <v>1977</v>
      </c>
      <c r="J51" s="57" t="n">
        <f aca="false">Hypothèses!$B$55*(1+Hypothèses!$B$56)^(J$5-1)</f>
        <v>1977</v>
      </c>
      <c r="K51" s="57" t="n">
        <f aca="false">Hypothèses!$B$55*(1+Hypothèses!$B$56)^(K$5-1)</f>
        <v>1977</v>
      </c>
      <c r="L51" s="57" t="n">
        <f aca="false">Hypothèses!$B$55*(1+Hypothèses!$B$56)^(L$5-1)</f>
        <v>1977</v>
      </c>
      <c r="M51" s="57" t="n">
        <f aca="false">Hypothèses!$B$55*(1+Hypothèses!$B$56)^(M$5-1)</f>
        <v>1977</v>
      </c>
      <c r="N51" s="57" t="n">
        <f aca="false">Hypothèses!$B$55*(1+Hypothèses!$B$56)^(N$5-1)</f>
        <v>1977</v>
      </c>
      <c r="O51" s="57" t="n">
        <f aca="false">Hypothèses!$B$55*(1+Hypothèses!$B$56)^(O$5-1)</f>
        <v>2471.25</v>
      </c>
      <c r="P51" s="57" t="n">
        <f aca="false">Hypothèses!$B$55*(1+Hypothèses!$B$56)^(P$5-1)</f>
        <v>2471.25</v>
      </c>
      <c r="Q51" s="57" t="n">
        <f aca="false">Hypothèses!$B$55*(1+Hypothèses!$B$56)^(Q$5-1)</f>
        <v>2471.25</v>
      </c>
      <c r="R51" s="57" t="n">
        <f aca="false">Hypothèses!$B$55*(1+Hypothèses!$B$56)^(R$5-1)</f>
        <v>2471.25</v>
      </c>
      <c r="S51" s="57" t="n">
        <f aca="false">Hypothèses!$B$55*(1+Hypothèses!$B$56)^(S$5-1)</f>
        <v>2471.25</v>
      </c>
      <c r="T51" s="57" t="n">
        <f aca="false">Hypothèses!$B$55*(1+Hypothèses!$B$56)^(T$5-1)</f>
        <v>2471.25</v>
      </c>
      <c r="U51" s="57" t="n">
        <f aca="false">Hypothèses!$B$55*(1+Hypothèses!$B$56)^(U$5-1)</f>
        <v>2471.25</v>
      </c>
      <c r="V51" s="57" t="n">
        <f aca="false">Hypothèses!$B$55*(1+Hypothèses!$B$56)^(V$5-1)</f>
        <v>2471.25</v>
      </c>
      <c r="W51" s="57" t="n">
        <f aca="false">Hypothèses!$B$55*(1+Hypothèses!$B$56)^(W$5-1)</f>
        <v>2471.25</v>
      </c>
      <c r="X51" s="57" t="n">
        <f aca="false">Hypothèses!$B$55*(1+Hypothèses!$B$56)^(X$5-1)</f>
        <v>2471.25</v>
      </c>
      <c r="Y51" s="57" t="n">
        <f aca="false">Hypothèses!$B$55*(1+Hypothèses!$B$56)^(Y$5-1)</f>
        <v>2471.25</v>
      </c>
      <c r="Z51" s="57" t="n">
        <f aca="false">Hypothèses!$B$55*(1+Hypothèses!$B$56)^(Z$5-1)</f>
        <v>2471.25</v>
      </c>
      <c r="AA51" s="57" t="n">
        <f aca="false">Hypothèses!$B$55*(1+Hypothèses!$B$56)^(AA$5-1)</f>
        <v>3089.0625</v>
      </c>
      <c r="AB51" s="57" t="n">
        <f aca="false">Hypothèses!$B$55*(1+Hypothèses!$B$56)^(AB$5-1)</f>
        <v>3089.0625</v>
      </c>
      <c r="AC51" s="57" t="n">
        <f aca="false">Hypothèses!$B$55*(1+Hypothèses!$B$56)^(AC$5-1)</f>
        <v>3089.0625</v>
      </c>
      <c r="AD51" s="57" t="n">
        <f aca="false">Hypothèses!$B$55*(1+Hypothèses!$B$56)^(AD$5-1)</f>
        <v>3089.0625</v>
      </c>
      <c r="AE51" s="57" t="n">
        <f aca="false">Hypothèses!$B$55*(1+Hypothèses!$B$56)^(AE$5-1)</f>
        <v>3089.0625</v>
      </c>
      <c r="AF51" s="57" t="n">
        <f aca="false">Hypothèses!$B$55*(1+Hypothèses!$B$56)^(AF$5-1)</f>
        <v>3089.0625</v>
      </c>
      <c r="AG51" s="57" t="n">
        <f aca="false">Hypothèses!$B$55*(1+Hypothèses!$B$56)^(AG$5-1)</f>
        <v>3089.0625</v>
      </c>
      <c r="AH51" s="57" t="n">
        <f aca="false">Hypothèses!$B$55*(1+Hypothèses!$B$56)^(AH$5-1)</f>
        <v>3089.0625</v>
      </c>
      <c r="AI51" s="57" t="n">
        <f aca="false">Hypothèses!$B$55*(1+Hypothèses!$B$56)^(AI$5-1)</f>
        <v>3089.0625</v>
      </c>
      <c r="AJ51" s="57" t="n">
        <f aca="false">Hypothèses!$B$55*(1+Hypothèses!$B$56)^(AJ$5-1)</f>
        <v>3089.0625</v>
      </c>
      <c r="AK51" s="57" t="n">
        <f aca="false">Hypothèses!$B$55*(1+Hypothèses!$B$56)^(AK$5-1)</f>
        <v>3089.0625</v>
      </c>
      <c r="AL51" s="57" t="n">
        <f aca="false">Hypothèses!$B$55*(1+Hypothèses!$B$56)^(AL$5-1)</f>
        <v>3089.0625</v>
      </c>
    </row>
    <row r="52" customFormat="false" ht="15" hidden="false" customHeight="false" outlineLevel="0" collapsed="false">
      <c r="A52" s="54" t="s">
        <v>225</v>
      </c>
      <c r="B52" s="55" t="s">
        <v>200</v>
      </c>
      <c r="C52" s="39" t="n">
        <f aca="false">SUM(C46:C51)</f>
        <v>2287.25908</v>
      </c>
      <c r="D52" s="39" t="n">
        <f aca="false">SUM(D46:D51)</f>
        <v>2369.1421996</v>
      </c>
      <c r="E52" s="39" t="n">
        <f aca="false">SUM(E46:E51)</f>
        <v>2455.850872972</v>
      </c>
      <c r="F52" s="39" t="n">
        <f aca="false">SUM(F46:F51)</f>
        <v>2547.82355849164</v>
      </c>
      <c r="G52" s="39" t="n">
        <f aca="false">SUM(G46:G51)</f>
        <v>2645.5321857224</v>
      </c>
      <c r="H52" s="39" t="n">
        <f aca="false">SUM(H46:H51)</f>
        <v>2749.48488292807</v>
      </c>
      <c r="I52" s="39" t="n">
        <f aca="false">SUM(I46:I51)</f>
        <v>2860.22892120911</v>
      </c>
      <c r="J52" s="39" t="n">
        <f aca="false">SUM(J46:J51)</f>
        <v>2978.35389264411</v>
      </c>
      <c r="K52" s="39" t="n">
        <f aca="false">SUM(K46:K51)</f>
        <v>3104.4951412066</v>
      </c>
      <c r="L52" s="39" t="n">
        <f aca="false">SUM(L46:L51)</f>
        <v>3239.33746672716</v>
      </c>
      <c r="M52" s="39" t="n">
        <f aca="false">SUM(M46:M51)</f>
        <v>3383.61912379086</v>
      </c>
      <c r="N52" s="39" t="n">
        <f aca="false">SUM(N46:N51)</f>
        <v>3538.1361392097</v>
      </c>
      <c r="O52" s="39" t="n">
        <f aca="false">SUM(O46:O51)</f>
        <v>4177.20505849741</v>
      </c>
      <c r="P52" s="39" t="n">
        <f aca="false">SUM(P46:P51)</f>
        <v>4325.32941804022</v>
      </c>
      <c r="Q52" s="39" t="n">
        <f aca="false">SUM(Q46:Q51)</f>
        <v>4476.96686055906</v>
      </c>
      <c r="R52" s="39" t="n">
        <f aca="false">SUM(R46:R51)</f>
        <v>4632.33103144963</v>
      </c>
      <c r="S52" s="39" t="n">
        <f aca="false">SUM(S46:S51)</f>
        <v>4791.64188999443</v>
      </c>
      <c r="T52" s="39" t="n">
        <f aca="false">SUM(T46:T51)</f>
        <v>4955.12603078942</v>
      </c>
      <c r="U52" s="39" t="n">
        <f aca="false">SUM(U46:U51)</f>
        <v>5123.01701586602</v>
      </c>
      <c r="V52" s="39" t="n">
        <f aca="false">SUM(V46:V51)</f>
        <v>5295.55571800571</v>
      </c>
      <c r="W52" s="39" t="n">
        <f aca="false">SUM(W46:W51)</f>
        <v>5472.99067576245</v>
      </c>
      <c r="X52" s="39" t="n">
        <f aca="false">SUM(X46:X51)</f>
        <v>5655.57846072615</v>
      </c>
      <c r="Y52" s="39" t="n">
        <f aca="false">SUM(Y46:Y51)</f>
        <v>5843.58405757978</v>
      </c>
      <c r="Z52" s="39" t="n">
        <f aca="false">SUM(Z46:Z51)</f>
        <v>6037.28125752275</v>
      </c>
      <c r="AA52" s="39" t="n">
        <f aca="false">SUM(AA46:AA51)</f>
        <v>6854.76556565377</v>
      </c>
      <c r="AB52" s="39" t="n">
        <f aca="false">SUM(AB46:AB51)</f>
        <v>7060.70462292867</v>
      </c>
      <c r="AC52" s="39" t="n">
        <f aca="false">SUM(AC46:AC51)</f>
        <v>7273.21364333098</v>
      </c>
      <c r="AD52" s="39" t="n">
        <f aca="false">SUM(AD46:AD51)</f>
        <v>7492.6058669169</v>
      </c>
      <c r="AE52" s="39" t="n">
        <f aca="false">SUM(AE46:AE51)</f>
        <v>7719.20552942116</v>
      </c>
      <c r="AF52" s="39" t="n">
        <f aca="false">SUM(AF46:AF51)</f>
        <v>7953.34834913571</v>
      </c>
      <c r="AG52" s="39" t="n">
        <f aca="false">SUM(AG46:AG51)</f>
        <v>8195.38203180041</v>
      </c>
      <c r="AH52" s="39" t="n">
        <f aca="false">SUM(AH46:AH51)</f>
        <v>8445.66679427253</v>
      </c>
      <c r="AI52" s="39" t="n">
        <f aca="false">SUM(AI46:AI51)</f>
        <v>8704.57590777127</v>
      </c>
      <c r="AJ52" s="39" t="n">
        <f aca="false">SUM(AJ46:AJ51)</f>
        <v>8972.49626152366</v>
      </c>
      <c r="AK52" s="39" t="n">
        <f aca="false">SUM(AK46:AK51)</f>
        <v>9249.82894767017</v>
      </c>
      <c r="AL52" s="39" t="n">
        <f aca="false">SUM(AL46:AL51)</f>
        <v>9536.98986832087</v>
      </c>
    </row>
    <row r="54" customFormat="false" ht="15" hidden="false" customHeight="false" outlineLevel="0" collapsed="false">
      <c r="A54" s="19" t="s">
        <v>226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customFormat="false" ht="15" hidden="false" customHeight="false" outlineLevel="0" collapsed="false">
      <c r="A55" s="54" t="s">
        <v>227</v>
      </c>
      <c r="B55" s="55" t="s">
        <v>200</v>
      </c>
      <c r="C55" s="39" t="n">
        <f aca="false">C43-C52</f>
        <v>-1847.63718299456</v>
      </c>
      <c r="D55" s="39" t="n">
        <f aca="false">D43-D52</f>
        <v>-1743.99733954102</v>
      </c>
      <c r="E55" s="39" t="n">
        <f aca="false">E43-E52</f>
        <v>-1634.98284363675</v>
      </c>
      <c r="F55" s="39" t="n">
        <f aca="false">F43-F52</f>
        <v>-1520.07375030388</v>
      </c>
      <c r="G55" s="39" t="n">
        <f aca="false">G43-G52</f>
        <v>-1398.71154681394</v>
      </c>
      <c r="H55" s="39" t="n">
        <f aca="false">H43-H52</f>
        <v>-1237.96838608184</v>
      </c>
      <c r="I55" s="39" t="n">
        <f aca="false">I43-I52</f>
        <v>-1099.26779355998</v>
      </c>
      <c r="J55" s="39" t="n">
        <f aca="false">J43-J52</f>
        <v>-951.967172291872</v>
      </c>
      <c r="K55" s="39" t="n">
        <f aca="false">K43-K52</f>
        <v>-795.302774005735</v>
      </c>
      <c r="L55" s="39" t="n">
        <f aca="false">L43-L52</f>
        <v>-628.452340323345</v>
      </c>
      <c r="M55" s="39" t="n">
        <f aca="false">M43-M52</f>
        <v>-450.530344836384</v>
      </c>
      <c r="N55" s="39" t="n">
        <f aca="false">N43-N52</f>
        <v>-228.255271613358</v>
      </c>
      <c r="O55" s="39" t="n">
        <f aca="false">O43-O52</f>
        <v>-513.172806816292</v>
      </c>
      <c r="P55" s="39" t="n">
        <f aca="false">P43-P52</f>
        <v>-299.327379492276</v>
      </c>
      <c r="Q55" s="39" t="n">
        <f aca="false">Q43-Q52</f>
        <v>-80.6344029956726</v>
      </c>
      <c r="R55" s="39" t="n">
        <f aca="false">R43-R52</f>
        <v>143.251773451379</v>
      </c>
      <c r="S55" s="39" t="n">
        <f aca="false">S43-S52</f>
        <v>372.68859124134</v>
      </c>
      <c r="T55" s="39" t="n">
        <f aca="false">T43-T52</f>
        <v>651.149492855687</v>
      </c>
      <c r="U55" s="39" t="n">
        <f aca="false">U43-U52</f>
        <v>896.259205051739</v>
      </c>
      <c r="V55" s="39" t="n">
        <f aca="false">V43-V52</f>
        <v>1148.34630433755</v>
      </c>
      <c r="W55" s="39" t="n">
        <f aca="false">W43-W52</f>
        <v>1407.84548138524</v>
      </c>
      <c r="X55" s="39" t="n">
        <f aca="false">X43-X52</f>
        <v>1675.20920398348</v>
      </c>
      <c r="Y55" s="39" t="n">
        <f aca="false">Y43-Y52</f>
        <v>1950.9088402673</v>
      </c>
      <c r="Z55" s="39" t="n">
        <f aca="false">Z43-Z52</f>
        <v>2235.43584679523</v>
      </c>
      <c r="AA55" s="39" t="n">
        <f aca="false">AA43-AA52</f>
        <v>1911.490526094</v>
      </c>
      <c r="AB55" s="39" t="n">
        <f aca="false">AB43-AB52</f>
        <v>2215.23335862097</v>
      </c>
      <c r="AC55" s="39" t="n">
        <f aca="false">AC43-AC52</f>
        <v>2529.41141444879</v>
      </c>
      <c r="AD55" s="39" t="n">
        <f aca="false">AD43-AD52</f>
        <v>2854.60985035946</v>
      </c>
      <c r="AE55" s="39" t="n">
        <f aca="false">AE43-AE52</f>
        <v>3191.44099844611</v>
      </c>
      <c r="AF55" s="39" t="n">
        <f aca="false">AF43-AF52</f>
        <v>3540.5460527645</v>
      </c>
      <c r="AG55" s="39" t="n">
        <f aca="false">AG43-AG52</f>
        <v>3902.59686105328</v>
      </c>
      <c r="AH55" s="39" t="n">
        <f aca="false">AH43-AH52</f>
        <v>4278.29782905686</v>
      </c>
      <c r="AI55" s="39" t="n">
        <f aca="false">AI43-AI52</f>
        <v>4668.3879455381</v>
      </c>
      <c r="AJ55" s="39" t="n">
        <f aca="false">AJ43-AJ52</f>
        <v>5073.64293666543</v>
      </c>
      <c r="AK55" s="39" t="n">
        <f aca="false">AK43-AK52</f>
        <v>5494.87755910121</v>
      </c>
      <c r="AL55" s="39" t="n">
        <f aca="false">AL43-AL52</f>
        <v>5932.94804181134</v>
      </c>
    </row>
    <row r="56" customFormat="false" ht="15" hidden="false" customHeight="false" outlineLevel="0" collapsed="false">
      <c r="A56" s="13" t="s">
        <v>228</v>
      </c>
      <c r="B56" s="49" t="s">
        <v>200</v>
      </c>
      <c r="C56" s="57" t="n">
        <f aca="false">MAX(0,C55)*Hypothèses!$B$12</f>
        <v>0</v>
      </c>
      <c r="D56" s="57" t="n">
        <f aca="false">MAX(0,D55)*Hypothèses!$B$12</f>
        <v>0</v>
      </c>
      <c r="E56" s="57" t="n">
        <f aca="false">MAX(0,E55)*Hypothèses!$B$12</f>
        <v>0</v>
      </c>
      <c r="F56" s="57" t="n">
        <f aca="false">MAX(0,F55)*Hypothèses!$B$12</f>
        <v>0</v>
      </c>
      <c r="G56" s="57" t="n">
        <f aca="false">MAX(0,G55)*Hypothèses!$B$12</f>
        <v>0</v>
      </c>
      <c r="H56" s="57" t="n">
        <f aca="false">MAX(0,H55)*Hypothèses!$B$12</f>
        <v>0</v>
      </c>
      <c r="I56" s="57" t="n">
        <f aca="false">MAX(0,I55)*Hypothèses!$B$12</f>
        <v>0</v>
      </c>
      <c r="J56" s="57" t="n">
        <f aca="false">MAX(0,J55)*Hypothèses!$B$12</f>
        <v>0</v>
      </c>
      <c r="K56" s="57" t="n">
        <f aca="false">MAX(0,K55)*Hypothèses!$B$12</f>
        <v>0</v>
      </c>
      <c r="L56" s="57" t="n">
        <f aca="false">MAX(0,L55)*Hypothèses!$B$12</f>
        <v>0</v>
      </c>
      <c r="M56" s="57" t="n">
        <f aca="false">MAX(0,M55)*Hypothèses!$B$12</f>
        <v>0</v>
      </c>
      <c r="N56" s="57" t="n">
        <f aca="false">MAX(0,N55)*Hypothèses!$B$12</f>
        <v>0</v>
      </c>
      <c r="O56" s="57" t="n">
        <f aca="false">MAX(0,O55)*Hypothèses!$B$12</f>
        <v>0</v>
      </c>
      <c r="P56" s="57" t="n">
        <f aca="false">MAX(0,P55)*Hypothèses!$B$12</f>
        <v>0</v>
      </c>
      <c r="Q56" s="57" t="n">
        <f aca="false">MAX(0,Q55)*Hypothèses!$B$12</f>
        <v>0</v>
      </c>
      <c r="R56" s="57" t="n">
        <f aca="false">MAX(0,R55)*Hypothèses!$B$12</f>
        <v>42.9755320354136</v>
      </c>
      <c r="S56" s="57" t="n">
        <f aca="false">MAX(0,S55)*Hypothèses!$B$12</f>
        <v>111.806577372402</v>
      </c>
      <c r="T56" s="57" t="n">
        <f aca="false">MAX(0,T55)*Hypothèses!$B$12</f>
        <v>195.344847856706</v>
      </c>
      <c r="U56" s="57" t="n">
        <f aca="false">MAX(0,U55)*Hypothèses!$B$12</f>
        <v>268.877761515522</v>
      </c>
      <c r="V56" s="57" t="n">
        <f aca="false">MAX(0,V55)*Hypothèses!$B$12</f>
        <v>344.503891301266</v>
      </c>
      <c r="W56" s="57" t="n">
        <f aca="false">MAX(0,W55)*Hypothèses!$B$12</f>
        <v>422.353644415573</v>
      </c>
      <c r="X56" s="57" t="n">
        <f aca="false">MAX(0,X55)*Hypothèses!$B$12</f>
        <v>502.562761195044</v>
      </c>
      <c r="Y56" s="57" t="n">
        <f aca="false">MAX(0,Y55)*Hypothèses!$B$12</f>
        <v>585.27265208019</v>
      </c>
      <c r="Z56" s="57" t="n">
        <f aca="false">MAX(0,Z55)*Hypothèses!$B$12</f>
        <v>670.630754038568</v>
      </c>
      <c r="AA56" s="57" t="n">
        <f aca="false">MAX(0,AA55)*Hypothèses!$B$12</f>
        <v>573.4471578282</v>
      </c>
      <c r="AB56" s="57" t="n">
        <f aca="false">MAX(0,AB55)*Hypothèses!$B$12</f>
        <v>664.570007586292</v>
      </c>
      <c r="AC56" s="57" t="n">
        <f aca="false">MAX(0,AC55)*Hypothèses!$B$12</f>
        <v>758.823424334638</v>
      </c>
      <c r="AD56" s="57" t="n">
        <f aca="false">MAX(0,AD55)*Hypothèses!$B$12</f>
        <v>856.382955107837</v>
      </c>
      <c r="AE56" s="57" t="n">
        <f aca="false">MAX(0,AE55)*Hypothèses!$B$12</f>
        <v>957.432299533834</v>
      </c>
      <c r="AF56" s="57" t="n">
        <f aca="false">MAX(0,AF55)*Hypothèses!$B$12</f>
        <v>1062.16381582935</v>
      </c>
      <c r="AG56" s="57" t="n">
        <f aca="false">MAX(0,AG55)*Hypothèses!$B$12</f>
        <v>1170.77905831599</v>
      </c>
      <c r="AH56" s="57" t="n">
        <f aca="false">MAX(0,AH55)*Hypothèses!$B$12</f>
        <v>1283.48934871706</v>
      </c>
      <c r="AI56" s="57" t="n">
        <f aca="false">MAX(0,AI55)*Hypothèses!$B$12</f>
        <v>1400.51638366143</v>
      </c>
      <c r="AJ56" s="57" t="n">
        <f aca="false">MAX(0,AJ55)*Hypothèses!$B$12</f>
        <v>1522.09288099963</v>
      </c>
      <c r="AK56" s="57" t="n">
        <f aca="false">MAX(0,AK55)*Hypothèses!$B$12</f>
        <v>1648.46326773036</v>
      </c>
      <c r="AL56" s="57" t="n">
        <f aca="false">MAX(0,AL55)*Hypothèses!$B$12</f>
        <v>1779.8844125434</v>
      </c>
    </row>
    <row r="57" customFormat="false" ht="15" hidden="false" customHeight="false" outlineLevel="0" collapsed="false">
      <c r="A57" s="54" t="s">
        <v>229</v>
      </c>
      <c r="B57" s="55" t="s">
        <v>200</v>
      </c>
      <c r="C57" s="39" t="n">
        <f aca="false">C55-C56</f>
        <v>-1847.63718299456</v>
      </c>
      <c r="D57" s="39" t="n">
        <f aca="false">D55-D56</f>
        <v>-1743.99733954102</v>
      </c>
      <c r="E57" s="39" t="n">
        <f aca="false">E55-E56</f>
        <v>-1634.98284363675</v>
      </c>
      <c r="F57" s="39" t="n">
        <f aca="false">F55-F56</f>
        <v>-1520.07375030388</v>
      </c>
      <c r="G57" s="39" t="n">
        <f aca="false">G55-G56</f>
        <v>-1398.71154681394</v>
      </c>
      <c r="H57" s="39" t="n">
        <f aca="false">H55-H56</f>
        <v>-1237.96838608184</v>
      </c>
      <c r="I57" s="39" t="n">
        <f aca="false">I55-I56</f>
        <v>-1099.26779355998</v>
      </c>
      <c r="J57" s="39" t="n">
        <f aca="false">J55-J56</f>
        <v>-951.967172291872</v>
      </c>
      <c r="K57" s="39" t="n">
        <f aca="false">K55-K56</f>
        <v>-795.302774005735</v>
      </c>
      <c r="L57" s="39" t="n">
        <f aca="false">L55-L56</f>
        <v>-628.452340323345</v>
      </c>
      <c r="M57" s="39" t="n">
        <f aca="false">M55-M56</f>
        <v>-450.530344836384</v>
      </c>
      <c r="N57" s="39" t="n">
        <f aca="false">N55-N56</f>
        <v>-228.255271613358</v>
      </c>
      <c r="O57" s="39" t="n">
        <f aca="false">O55-O56</f>
        <v>-513.172806816292</v>
      </c>
      <c r="P57" s="39" t="n">
        <f aca="false">P55-P56</f>
        <v>-299.327379492276</v>
      </c>
      <c r="Q57" s="39" t="n">
        <f aca="false">Q55-Q56</f>
        <v>-80.6344029956726</v>
      </c>
      <c r="R57" s="39" t="n">
        <f aca="false">R55-R56</f>
        <v>100.276241415965</v>
      </c>
      <c r="S57" s="39" t="n">
        <f aca="false">S55-S56</f>
        <v>260.882013868938</v>
      </c>
      <c r="T57" s="39" t="n">
        <f aca="false">T55-T56</f>
        <v>455.804644998981</v>
      </c>
      <c r="U57" s="39" t="n">
        <f aca="false">U55-U56</f>
        <v>627.381443536217</v>
      </c>
      <c r="V57" s="39" t="n">
        <f aca="false">V55-V56</f>
        <v>803.842413036287</v>
      </c>
      <c r="W57" s="39" t="n">
        <f aca="false">W55-W56</f>
        <v>985.491836969671</v>
      </c>
      <c r="X57" s="39" t="n">
        <f aca="false">X55-X56</f>
        <v>1172.64644278844</v>
      </c>
      <c r="Y57" s="39" t="n">
        <f aca="false">Y55-Y56</f>
        <v>1365.63618818711</v>
      </c>
      <c r="Z57" s="39" t="n">
        <f aca="false">Z55-Z56</f>
        <v>1564.80509275666</v>
      </c>
      <c r="AA57" s="39" t="n">
        <f aca="false">AA55-AA56</f>
        <v>1338.0433682658</v>
      </c>
      <c r="AB57" s="39" t="n">
        <f aca="false">AB55-AB56</f>
        <v>1550.66335103468</v>
      </c>
      <c r="AC57" s="39" t="n">
        <f aca="false">AC55-AC56</f>
        <v>1770.58799011415</v>
      </c>
      <c r="AD57" s="39" t="n">
        <f aca="false">AD55-AD56</f>
        <v>1998.22689525162</v>
      </c>
      <c r="AE57" s="39" t="n">
        <f aca="false">AE55-AE56</f>
        <v>2234.00869891228</v>
      </c>
      <c r="AF57" s="39" t="n">
        <f aca="false">AF55-AF56</f>
        <v>2478.38223693515</v>
      </c>
      <c r="AG57" s="39" t="n">
        <f aca="false">AG55-AG56</f>
        <v>2731.8178027373</v>
      </c>
      <c r="AH57" s="39" t="n">
        <f aca="false">AH55-AH56</f>
        <v>2994.8084803398</v>
      </c>
      <c r="AI57" s="39" t="n">
        <f aca="false">AI55-AI56</f>
        <v>3267.87156187667</v>
      </c>
      <c r="AJ57" s="39" t="n">
        <f aca="false">AJ55-AJ56</f>
        <v>3551.5500556658</v>
      </c>
      <c r="AK57" s="39" t="n">
        <f aca="false">AK55-AK56</f>
        <v>3846.41429137085</v>
      </c>
      <c r="AL57" s="39" t="n">
        <f aca="false">AL55-AL56</f>
        <v>4153.06362926794</v>
      </c>
    </row>
    <row r="58" customFormat="false" ht="15" hidden="false" customHeight="false" outlineLevel="0" collapsed="false">
      <c r="A58" s="38" t="s">
        <v>230</v>
      </c>
      <c r="B58" s="49" t="s">
        <v>200</v>
      </c>
      <c r="C58" s="58" t="n">
        <f aca="false">-Hypothèses!$B$73+C57</f>
        <v>-2872.63718299456</v>
      </c>
      <c r="D58" s="58" t="n">
        <f aca="false">C58+D57</f>
        <v>-4616.63452253557</v>
      </c>
      <c r="E58" s="58" t="n">
        <f aca="false">D58+E57</f>
        <v>-6251.61736617232</v>
      </c>
      <c r="F58" s="58" t="n">
        <f aca="false">E58+F57</f>
        <v>-7771.6911164762</v>
      </c>
      <c r="G58" s="58" t="n">
        <f aca="false">F58+G57</f>
        <v>-9170.40266329014</v>
      </c>
      <c r="H58" s="58" t="n">
        <f aca="false">G58+H57</f>
        <v>-10408.371049372</v>
      </c>
      <c r="I58" s="58" t="n">
        <f aca="false">H58+I57</f>
        <v>-11507.638842932</v>
      </c>
      <c r="J58" s="58" t="n">
        <f aca="false">I58+J57</f>
        <v>-12459.6060152238</v>
      </c>
      <c r="K58" s="58" t="n">
        <f aca="false">J58+K57</f>
        <v>-13254.9087892296</v>
      </c>
      <c r="L58" s="58" t="n">
        <f aca="false">K58+L57</f>
        <v>-13883.3611295529</v>
      </c>
      <c r="M58" s="58" t="n">
        <f aca="false">L58+M57</f>
        <v>-14333.8914743893</v>
      </c>
      <c r="N58" s="58" t="n">
        <f aca="false">M58+N57</f>
        <v>-14562.1467460027</v>
      </c>
      <c r="O58" s="58" t="n">
        <f aca="false">N58+O57</f>
        <v>-15075.3195528189</v>
      </c>
      <c r="P58" s="58" t="n">
        <f aca="false">O58+P57</f>
        <v>-15374.6469323112</v>
      </c>
      <c r="Q58" s="58" t="n">
        <f aca="false">P58+Q57</f>
        <v>-15455.2813353069</v>
      </c>
      <c r="R58" s="58" t="n">
        <f aca="false">Q58+R57</f>
        <v>-15355.0050938909</v>
      </c>
      <c r="S58" s="58" t="n">
        <f aca="false">R58+S57</f>
        <v>-15094.123080022</v>
      </c>
      <c r="T58" s="58" t="n">
        <f aca="false">S58+T57</f>
        <v>-14638.318435023</v>
      </c>
      <c r="U58" s="58" t="n">
        <f aca="false">T58+U57</f>
        <v>-14010.9369914868</v>
      </c>
      <c r="V58" s="58" t="n">
        <f aca="false">U58+V57</f>
        <v>-13207.0945784505</v>
      </c>
      <c r="W58" s="58" t="n">
        <f aca="false">V58+W57</f>
        <v>-12221.6027414808</v>
      </c>
      <c r="X58" s="58" t="n">
        <f aca="false">W58+X57</f>
        <v>-11048.9562986924</v>
      </c>
      <c r="Y58" s="58" t="n">
        <f aca="false">X58+Y57</f>
        <v>-9683.32011050529</v>
      </c>
      <c r="Z58" s="58" t="n">
        <f aca="false">Y58+Z57</f>
        <v>-8118.51501774863</v>
      </c>
      <c r="AA58" s="58" t="n">
        <f aca="false">Z58+AA57</f>
        <v>-6780.47164948283</v>
      </c>
      <c r="AB58" s="58" t="n">
        <f aca="false">AA58+AB57</f>
        <v>-5229.80829844815</v>
      </c>
      <c r="AC58" s="58" t="n">
        <f aca="false">AB58+AC57</f>
        <v>-3459.220308334</v>
      </c>
      <c r="AD58" s="58" t="n">
        <f aca="false">AC58+AD57</f>
        <v>-1460.99341308238</v>
      </c>
      <c r="AE58" s="58" t="n">
        <f aca="false">AD58+AE57</f>
        <v>773.015285829902</v>
      </c>
      <c r="AF58" s="58" t="n">
        <f aca="false">AE58+AF57</f>
        <v>3251.39752276505</v>
      </c>
      <c r="AG58" s="58" t="n">
        <f aca="false">AF58+AG57</f>
        <v>5983.21532550235</v>
      </c>
      <c r="AH58" s="58" t="n">
        <f aca="false">AG58+AH57</f>
        <v>8978.02380584215</v>
      </c>
      <c r="AI58" s="58" t="n">
        <f aca="false">AH58+AI57</f>
        <v>12245.8953677188</v>
      </c>
      <c r="AJ58" s="58" t="n">
        <f aca="false">AI58+AJ57</f>
        <v>15797.4454233846</v>
      </c>
      <c r="AK58" s="58" t="n">
        <f aca="false">AJ58+AK57</f>
        <v>19643.8597147555</v>
      </c>
      <c r="AL58" s="58" t="n">
        <f aca="false">AK58+AL57</f>
        <v>23796.9233440234</v>
      </c>
    </row>
    <row r="59" customFormat="false" ht="15" hidden="false" customHeight="false" outlineLevel="0" collapsed="false">
      <c r="A59" s="13" t="s">
        <v>231</v>
      </c>
      <c r="B59" s="49" t="s">
        <v>232</v>
      </c>
      <c r="C59" s="59" t="n">
        <f aca="false">IF(C43=0,0,C57/C43)</f>
        <v>-4.20278697576266</v>
      </c>
      <c r="D59" s="59" t="n">
        <f aca="false">IF(D43=0,0,D57/D43)</f>
        <v>-2.78974914610426</v>
      </c>
      <c r="E59" s="59" t="n">
        <f aca="false">IF(E43=0,0,E57/E43)</f>
        <v>-1.99177308069943</v>
      </c>
      <c r="F59" s="59" t="n">
        <f aca="false">IF(F43=0,0,F57/F43)</f>
        <v>-1.47903092580893</v>
      </c>
      <c r="G59" s="59" t="n">
        <f aca="false">IF(G43=0,0,G57/G43)</f>
        <v>-1.12182258070291</v>
      </c>
      <c r="H59" s="59" t="n">
        <f aca="false">IF(H43=0,0,H57/H43)</f>
        <v>-0.819024065344212</v>
      </c>
      <c r="I59" s="59" t="n">
        <f aca="false">IF(I43=0,0,I57/I43)</f>
        <v>-0.624243077430957</v>
      </c>
      <c r="J59" s="59" t="n">
        <f aca="false">IF(J43=0,0,J57/J43)</f>
        <v>-0.469785536359218</v>
      </c>
      <c r="K59" s="59" t="n">
        <f aca="false">IF(K43=0,0,K57/K43)</f>
        <v>-0.344407328424429</v>
      </c>
      <c r="L59" s="59" t="n">
        <f aca="false">IF(L43=0,0,L57/L43)</f>
        <v>-0.240704707368326</v>
      </c>
      <c r="M59" s="59" t="n">
        <f aca="false">IF(M43=0,0,M57/M43)</f>
        <v>-0.153602696266487</v>
      </c>
      <c r="N59" s="59" t="n">
        <f aca="false">IF(N43=0,0,N57/N43)</f>
        <v>-0.0689617786090043</v>
      </c>
      <c r="O59" s="59" t="n">
        <f aca="false">IF(O43=0,0,O57/O43)</f>
        <v>-0.140056847638511</v>
      </c>
      <c r="P59" s="59" t="n">
        <f aca="false">IF(P43=0,0,P57/P43)</f>
        <v>-0.0743485414627944</v>
      </c>
      <c r="Q59" s="59" t="n">
        <f aca="false">IF(Q43=0,0,Q57/Q43)</f>
        <v>-0.0183412887387418</v>
      </c>
      <c r="R59" s="59" t="n">
        <f aca="false">IF(R43=0,0,R57/R43)</f>
        <v>0.020997697142442</v>
      </c>
      <c r="S59" s="59" t="n">
        <f aca="false">IF(S43=0,0,S57/S43)</f>
        <v>0.0505161346309719</v>
      </c>
      <c r="T59" s="59" t="n">
        <f aca="false">IF(T43=0,0,T57/T43)</f>
        <v>0.0813025765638119</v>
      </c>
      <c r="U59" s="59" t="n">
        <f aca="false">IF(U43=0,0,U57/U43)</f>
        <v>0.10422871795715</v>
      </c>
      <c r="V59" s="59" t="n">
        <f aca="false">IF(V43=0,0,V57/V43)</f>
        <v>0.12474466716736</v>
      </c>
      <c r="W59" s="59" t="n">
        <f aca="false">IF(W43=0,0,W57/W43)</f>
        <v>0.143222686089678</v>
      </c>
      <c r="X59" s="59" t="n">
        <f aca="false">IF(X43=0,0,X57/X43)</f>
        <v>0.159961861729204</v>
      </c>
      <c r="Y59" s="59" t="n">
        <f aca="false">IF(Y43=0,0,Y57/Y43)</f>
        <v>0.175205264291704</v>
      </c>
      <c r="Z59" s="59" t="n">
        <f aca="false">IF(Z43=0,0,Z57/Z43)</f>
        <v>0.18915249645608</v>
      </c>
      <c r="AA59" s="59" t="n">
        <f aca="false">IF(AA43=0,0,AA57/AA43)</f>
        <v>0.152635669579102</v>
      </c>
      <c r="AB59" s="59" t="n">
        <f aca="false">IF(AB43=0,0,AB57/AB43)</f>
        <v>0.167170517323319</v>
      </c>
      <c r="AC59" s="59" t="n">
        <f aca="false">IF(AC43=0,0,AC57/AC43)</f>
        <v>0.180623861432805</v>
      </c>
      <c r="AD59" s="59" t="n">
        <f aca="false">IF(AD43=0,0,AD57/AD43)</f>
        <v>0.193117351551418</v>
      </c>
      <c r="AE59" s="59" t="n">
        <f aca="false">IF(AE43=0,0,AE57/AE43)</f>
        <v>0.204754933010278</v>
      </c>
      <c r="AF59" s="59" t="n">
        <f aca="false">IF(AF43=0,0,AF57/AF43)</f>
        <v>0.215625979348254</v>
      </c>
      <c r="AG59" s="59" t="n">
        <f aca="false">IF(AG43=0,0,AG57/AG43)</f>
        <v>0.22580778383991</v>
      </c>
      <c r="AH59" s="59" t="n">
        <f aca="false">IF(AH43=0,0,AH57/AH43)</f>
        <v>0.235367557911063</v>
      </c>
      <c r="AI59" s="59" t="n">
        <f aca="false">IF(AI43=0,0,AI57/AI43)</f>
        <v>0.244364046573563</v>
      </c>
      <c r="AJ59" s="59" t="n">
        <f aca="false">IF(AJ43=0,0,AJ57/AJ43)</f>
        <v>0.25284884376795</v>
      </c>
      <c r="AK59" s="59" t="n">
        <f aca="false">IF(AK43=0,0,AK57/AK43)</f>
        <v>0.260867470614245</v>
      </c>
      <c r="AL59" s="59" t="n">
        <f aca="false">IF(AL43=0,0,AL57/AL43)</f>
        <v>0.2684602648953</v>
      </c>
    </row>
    <row r="60" customFormat="false" ht="15" hidden="true" customHeight="false" outlineLevel="0" collapsed="false">
      <c r="A60" s="13" t="s">
        <v>233</v>
      </c>
      <c r="B60" s="49"/>
      <c r="C60" s="60" t="n">
        <f aca="false">IF(C57&gt;0,C$4,999)</f>
        <v>999</v>
      </c>
      <c r="D60" s="60" t="n">
        <f aca="false">IF(D57&gt;0,D$4,999)</f>
        <v>999</v>
      </c>
      <c r="E60" s="60" t="n">
        <f aca="false">IF(E57&gt;0,E$4,999)</f>
        <v>999</v>
      </c>
      <c r="F60" s="60" t="n">
        <f aca="false">IF(F57&gt;0,F$4,999)</f>
        <v>999</v>
      </c>
      <c r="G60" s="60" t="n">
        <f aca="false">IF(G57&gt;0,G$4,999)</f>
        <v>999</v>
      </c>
      <c r="H60" s="60" t="n">
        <f aca="false">IF(H57&gt;0,H$4,999)</f>
        <v>999</v>
      </c>
      <c r="I60" s="60" t="n">
        <f aca="false">IF(I57&gt;0,I$4,999)</f>
        <v>999</v>
      </c>
      <c r="J60" s="60" t="n">
        <f aca="false">IF(J57&gt;0,J$4,999)</f>
        <v>999</v>
      </c>
      <c r="K60" s="60" t="n">
        <f aca="false">IF(K57&gt;0,K$4,999)</f>
        <v>999</v>
      </c>
      <c r="L60" s="60" t="n">
        <f aca="false">IF(L57&gt;0,L$4,999)</f>
        <v>999</v>
      </c>
      <c r="M60" s="60" t="n">
        <f aca="false">IF(M57&gt;0,M$4,999)</f>
        <v>999</v>
      </c>
      <c r="N60" s="60" t="n">
        <f aca="false">IF(N57&gt;0,N$4,999)</f>
        <v>999</v>
      </c>
      <c r="O60" s="60" t="n">
        <f aca="false">IF(O57&gt;0,O$4,999)</f>
        <v>999</v>
      </c>
      <c r="P60" s="60" t="n">
        <f aca="false">IF(P57&gt;0,P$4,999)</f>
        <v>999</v>
      </c>
      <c r="Q60" s="60" t="n">
        <f aca="false">IF(Q57&gt;0,Q$4,999)</f>
        <v>999</v>
      </c>
      <c r="R60" s="60" t="n">
        <f aca="false">IF(R57&gt;0,R$4,999)</f>
        <v>16</v>
      </c>
      <c r="S60" s="60" t="n">
        <f aca="false">IF(S57&gt;0,S$4,999)</f>
        <v>17</v>
      </c>
      <c r="T60" s="60" t="n">
        <f aca="false">IF(T57&gt;0,T$4,999)</f>
        <v>18</v>
      </c>
      <c r="U60" s="60" t="n">
        <f aca="false">IF(U57&gt;0,U$4,999)</f>
        <v>19</v>
      </c>
      <c r="V60" s="60" t="n">
        <f aca="false">IF(V57&gt;0,V$4,999)</f>
        <v>20</v>
      </c>
      <c r="W60" s="60" t="n">
        <f aca="false">IF(W57&gt;0,W$4,999)</f>
        <v>21</v>
      </c>
      <c r="X60" s="60" t="n">
        <f aca="false">IF(X57&gt;0,X$4,999)</f>
        <v>22</v>
      </c>
      <c r="Y60" s="60" t="n">
        <f aca="false">IF(Y57&gt;0,Y$4,999)</f>
        <v>23</v>
      </c>
      <c r="Z60" s="60" t="n">
        <f aca="false">IF(Z57&gt;0,Z$4,999)</f>
        <v>24</v>
      </c>
      <c r="AA60" s="60" t="n">
        <f aca="false">IF(AA57&gt;0,AA$4,999)</f>
        <v>25</v>
      </c>
      <c r="AB60" s="60" t="n">
        <f aca="false">IF(AB57&gt;0,AB$4,999)</f>
        <v>26</v>
      </c>
      <c r="AC60" s="60" t="n">
        <f aca="false">IF(AC57&gt;0,AC$4,999)</f>
        <v>27</v>
      </c>
      <c r="AD60" s="60" t="n">
        <f aca="false">IF(AD57&gt;0,AD$4,999)</f>
        <v>28</v>
      </c>
      <c r="AE60" s="60" t="n">
        <f aca="false">IF(AE57&gt;0,AE$4,999)</f>
        <v>29</v>
      </c>
      <c r="AF60" s="60" t="n">
        <f aca="false">IF(AF57&gt;0,AF$4,999)</f>
        <v>30</v>
      </c>
      <c r="AG60" s="60" t="n">
        <f aca="false">IF(AG57&gt;0,AG$4,999)</f>
        <v>31</v>
      </c>
      <c r="AH60" s="60" t="n">
        <f aca="false">IF(AH57&gt;0,AH$4,999)</f>
        <v>32</v>
      </c>
      <c r="AI60" s="60" t="n">
        <f aca="false">IF(AI57&gt;0,AI$4,999)</f>
        <v>33</v>
      </c>
      <c r="AJ60" s="60" t="n">
        <f aca="false">IF(AJ57&gt;0,AJ$4,999)</f>
        <v>34</v>
      </c>
      <c r="AK60" s="60" t="n">
        <f aca="false">IF(AK57&gt;0,AK$4,999)</f>
        <v>35</v>
      </c>
      <c r="AL60" s="60" t="n">
        <f aca="false">IF(AL57&gt;0,AL$4,999)</f>
        <v>36</v>
      </c>
    </row>
    <row r="61" customFormat="false" ht="15" hidden="true" customHeight="false" outlineLevel="0" collapsed="false">
      <c r="A61" s="13" t="s">
        <v>234</v>
      </c>
      <c r="B61" s="49"/>
      <c r="C61" s="60" t="n">
        <f aca="false">IF(C58&gt;0,C$4,999)</f>
        <v>999</v>
      </c>
      <c r="D61" s="60" t="n">
        <f aca="false">IF(D58&gt;0,D$4,999)</f>
        <v>999</v>
      </c>
      <c r="E61" s="60" t="n">
        <f aca="false">IF(E58&gt;0,E$4,999)</f>
        <v>999</v>
      </c>
      <c r="F61" s="60" t="n">
        <f aca="false">IF(F58&gt;0,F$4,999)</f>
        <v>999</v>
      </c>
      <c r="G61" s="60" t="n">
        <f aca="false">IF(G58&gt;0,G$4,999)</f>
        <v>999</v>
      </c>
      <c r="H61" s="60" t="n">
        <f aca="false">IF(H58&gt;0,H$4,999)</f>
        <v>999</v>
      </c>
      <c r="I61" s="60" t="n">
        <f aca="false">IF(I58&gt;0,I$4,999)</f>
        <v>999</v>
      </c>
      <c r="J61" s="60" t="n">
        <f aca="false">IF(J58&gt;0,J$4,999)</f>
        <v>999</v>
      </c>
      <c r="K61" s="60" t="n">
        <f aca="false">IF(K58&gt;0,K$4,999)</f>
        <v>999</v>
      </c>
      <c r="L61" s="60" t="n">
        <f aca="false">IF(L58&gt;0,L$4,999)</f>
        <v>999</v>
      </c>
      <c r="M61" s="60" t="n">
        <f aca="false">IF(M58&gt;0,M$4,999)</f>
        <v>999</v>
      </c>
      <c r="N61" s="60" t="n">
        <f aca="false">IF(N58&gt;0,N$4,999)</f>
        <v>999</v>
      </c>
      <c r="O61" s="60" t="n">
        <f aca="false">IF(O58&gt;0,O$4,999)</f>
        <v>999</v>
      </c>
      <c r="P61" s="60" t="n">
        <f aca="false">IF(P58&gt;0,P$4,999)</f>
        <v>999</v>
      </c>
      <c r="Q61" s="60" t="n">
        <f aca="false">IF(Q58&gt;0,Q$4,999)</f>
        <v>999</v>
      </c>
      <c r="R61" s="60" t="n">
        <f aca="false">IF(R58&gt;0,R$4,999)</f>
        <v>999</v>
      </c>
      <c r="S61" s="60" t="n">
        <f aca="false">IF(S58&gt;0,S$4,999)</f>
        <v>999</v>
      </c>
      <c r="T61" s="60" t="n">
        <f aca="false">IF(T58&gt;0,T$4,999)</f>
        <v>999</v>
      </c>
      <c r="U61" s="60" t="n">
        <f aca="false">IF(U58&gt;0,U$4,999)</f>
        <v>999</v>
      </c>
      <c r="V61" s="60" t="n">
        <f aca="false">IF(V58&gt;0,V$4,999)</f>
        <v>999</v>
      </c>
      <c r="W61" s="60" t="n">
        <f aca="false">IF(W58&gt;0,W$4,999)</f>
        <v>999</v>
      </c>
      <c r="X61" s="60" t="n">
        <f aca="false">IF(X58&gt;0,X$4,999)</f>
        <v>999</v>
      </c>
      <c r="Y61" s="60" t="n">
        <f aca="false">IF(Y58&gt;0,Y$4,999)</f>
        <v>999</v>
      </c>
      <c r="Z61" s="60" t="n">
        <f aca="false">IF(Z58&gt;0,Z$4,999)</f>
        <v>999</v>
      </c>
      <c r="AA61" s="60" t="n">
        <f aca="false">IF(AA58&gt;0,AA$4,999)</f>
        <v>999</v>
      </c>
      <c r="AB61" s="60" t="n">
        <f aca="false">IF(AB58&gt;0,AB$4,999)</f>
        <v>999</v>
      </c>
      <c r="AC61" s="60" t="n">
        <f aca="false">IF(AC58&gt;0,AC$4,999)</f>
        <v>999</v>
      </c>
      <c r="AD61" s="60" t="n">
        <f aca="false">IF(AD58&gt;0,AD$4,999)</f>
        <v>999</v>
      </c>
      <c r="AE61" s="60" t="n">
        <f aca="false">IF(AE58&gt;0,AE$4,999)</f>
        <v>29</v>
      </c>
      <c r="AF61" s="60" t="n">
        <f aca="false">IF(AF58&gt;0,AF$4,999)</f>
        <v>30</v>
      </c>
      <c r="AG61" s="60" t="n">
        <f aca="false">IF(AG58&gt;0,AG$4,999)</f>
        <v>31</v>
      </c>
      <c r="AH61" s="60" t="n">
        <f aca="false">IF(AH58&gt;0,AH$4,999)</f>
        <v>32</v>
      </c>
      <c r="AI61" s="60" t="n">
        <f aca="false">IF(AI58&gt;0,AI$4,999)</f>
        <v>33</v>
      </c>
      <c r="AJ61" s="60" t="n">
        <f aca="false">IF(AJ58&gt;0,AJ$4,999)</f>
        <v>34</v>
      </c>
      <c r="AK61" s="60" t="n">
        <f aca="false">IF(AK58&gt;0,AK$4,999)</f>
        <v>35</v>
      </c>
      <c r="AL61" s="60" t="n">
        <f aca="false">IF(AL58&gt;0,AL$4,999)</f>
        <v>36</v>
      </c>
    </row>
    <row r="62" customFormat="false" ht="15" hidden="true" customHeight="false" outlineLevel="0" collapsed="false">
      <c r="A62" s="13" t="s">
        <v>235</v>
      </c>
      <c r="B62" s="49"/>
      <c r="C62" s="60" t="n">
        <f aca="false">IF(C57&gt;=Hypothèses!$B$77*Hypothèses!$B$9,C$4,999)</f>
        <v>999</v>
      </c>
      <c r="D62" s="60" t="n">
        <f aca="false">IF(D57&gt;=Hypothèses!$B$77*Hypothèses!$B$9,D$4,999)</f>
        <v>999</v>
      </c>
      <c r="E62" s="60" t="n">
        <f aca="false">IF(E57&gt;=Hypothèses!$B$77*Hypothèses!$B$9,E$4,999)</f>
        <v>999</v>
      </c>
      <c r="F62" s="60" t="n">
        <f aca="false">IF(F57&gt;=Hypothèses!$B$77*Hypothèses!$B$9,F$4,999)</f>
        <v>999</v>
      </c>
      <c r="G62" s="60" t="n">
        <f aca="false">IF(G57&gt;=Hypothèses!$B$77*Hypothèses!$B$9,G$4,999)</f>
        <v>999</v>
      </c>
      <c r="H62" s="60" t="n">
        <f aca="false">IF(H57&gt;=Hypothèses!$B$77*Hypothèses!$B$9,H$4,999)</f>
        <v>999</v>
      </c>
      <c r="I62" s="60" t="n">
        <f aca="false">IF(I57&gt;=Hypothèses!$B$77*Hypothèses!$B$9,I$4,999)</f>
        <v>999</v>
      </c>
      <c r="J62" s="60" t="n">
        <f aca="false">IF(J57&gt;=Hypothèses!$B$77*Hypothèses!$B$9,J$4,999)</f>
        <v>999</v>
      </c>
      <c r="K62" s="60" t="n">
        <f aca="false">IF(K57&gt;=Hypothèses!$B$77*Hypothèses!$B$9,K$4,999)</f>
        <v>999</v>
      </c>
      <c r="L62" s="60" t="n">
        <f aca="false">IF(L57&gt;=Hypothèses!$B$77*Hypothèses!$B$9,L$4,999)</f>
        <v>999</v>
      </c>
      <c r="M62" s="60" t="n">
        <f aca="false">IF(M57&gt;=Hypothèses!$B$77*Hypothèses!$B$9,M$4,999)</f>
        <v>999</v>
      </c>
      <c r="N62" s="60" t="n">
        <f aca="false">IF(N57&gt;=Hypothèses!$B$77*Hypothèses!$B$9,N$4,999)</f>
        <v>999</v>
      </c>
      <c r="O62" s="60" t="n">
        <f aca="false">IF(O57&gt;=Hypothèses!$B$77*Hypothèses!$B$9,O$4,999)</f>
        <v>999</v>
      </c>
      <c r="P62" s="60" t="n">
        <f aca="false">IF(P57&gt;=Hypothèses!$B$77*Hypothèses!$B$9,P$4,999)</f>
        <v>999</v>
      </c>
      <c r="Q62" s="60" t="n">
        <f aca="false">IF(Q57&gt;=Hypothèses!$B$77*Hypothèses!$B$9,Q$4,999)</f>
        <v>999</v>
      </c>
      <c r="R62" s="60" t="n">
        <f aca="false">IF(R57&gt;=Hypothèses!$B$77*Hypothèses!$B$9,R$4,999)</f>
        <v>999</v>
      </c>
      <c r="S62" s="60" t="n">
        <f aca="false">IF(S57&gt;=Hypothèses!$B$77*Hypothèses!$B$9,S$4,999)</f>
        <v>999</v>
      </c>
      <c r="T62" s="60" t="n">
        <f aca="false">IF(T57&gt;=Hypothèses!$B$77*Hypothèses!$B$9,T$4,999)</f>
        <v>999</v>
      </c>
      <c r="U62" s="60" t="n">
        <f aca="false">IF(U57&gt;=Hypothèses!$B$77*Hypothèses!$B$9,U$4,999)</f>
        <v>999</v>
      </c>
      <c r="V62" s="60" t="n">
        <f aca="false">IF(V57&gt;=Hypothèses!$B$77*Hypothèses!$B$9,V$4,999)</f>
        <v>999</v>
      </c>
      <c r="W62" s="60" t="n">
        <f aca="false">IF(W57&gt;=Hypothèses!$B$77*Hypothèses!$B$9,W$4,999)</f>
        <v>999</v>
      </c>
      <c r="X62" s="60" t="n">
        <f aca="false">IF(X57&gt;=Hypothèses!$B$77*Hypothèses!$B$9,X$4,999)</f>
        <v>999</v>
      </c>
      <c r="Y62" s="60" t="n">
        <f aca="false">IF(Y57&gt;=Hypothèses!$B$77*Hypothèses!$B$9,Y$4,999)</f>
        <v>23</v>
      </c>
      <c r="Z62" s="60" t="n">
        <f aca="false">IF(Z57&gt;=Hypothèses!$B$77*Hypothèses!$B$9,Z$4,999)</f>
        <v>24</v>
      </c>
      <c r="AA62" s="60" t="n">
        <f aca="false">IF(AA57&gt;=Hypothèses!$B$77*Hypothèses!$B$9,AA$4,999)</f>
        <v>25</v>
      </c>
      <c r="AB62" s="60" t="n">
        <f aca="false">IF(AB57&gt;=Hypothèses!$B$77*Hypothèses!$B$9,AB$4,999)</f>
        <v>26</v>
      </c>
      <c r="AC62" s="60" t="n">
        <f aca="false">IF(AC57&gt;=Hypothèses!$B$77*Hypothèses!$B$9,AC$4,999)</f>
        <v>27</v>
      </c>
      <c r="AD62" s="60" t="n">
        <f aca="false">IF(AD57&gt;=Hypothèses!$B$77*Hypothèses!$B$9,AD$4,999)</f>
        <v>28</v>
      </c>
      <c r="AE62" s="60" t="n">
        <f aca="false">IF(AE57&gt;=Hypothèses!$B$77*Hypothèses!$B$9,AE$4,999)</f>
        <v>29</v>
      </c>
      <c r="AF62" s="60" t="n">
        <f aca="false">IF(AF57&gt;=Hypothèses!$B$77*Hypothèses!$B$9,AF$4,999)</f>
        <v>30</v>
      </c>
      <c r="AG62" s="60" t="n">
        <f aca="false">IF(AG57&gt;=Hypothèses!$B$77*Hypothèses!$B$9,AG$4,999)</f>
        <v>31</v>
      </c>
      <c r="AH62" s="60" t="n">
        <f aca="false">IF(AH57&gt;=Hypothèses!$B$77*Hypothèses!$B$9,AH$4,999)</f>
        <v>32</v>
      </c>
      <c r="AI62" s="60" t="n">
        <f aca="false">IF(AI57&gt;=Hypothèses!$B$77*Hypothèses!$B$9,AI$4,999)</f>
        <v>33</v>
      </c>
      <c r="AJ62" s="60" t="n">
        <f aca="false">IF(AJ57&gt;=Hypothèses!$B$77*Hypothèses!$B$9,AJ$4,999)</f>
        <v>34</v>
      </c>
      <c r="AK62" s="60" t="n">
        <f aca="false">IF(AK57&gt;=Hypothèses!$B$77*Hypothèses!$B$9,AK$4,999)</f>
        <v>35</v>
      </c>
      <c r="AL62" s="60" t="n">
        <f aca="false">IF(AL57&gt;=Hypothèses!$B$77*Hypothèses!$B$9,AL$4,999)</f>
        <v>36</v>
      </c>
    </row>
  </sheetData>
  <conditionalFormatting sqref="C57:AL57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C55:AL55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C58:AL58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6B"/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6"/>
    <col collapsed="false" customWidth="true" hidden="false" outlineLevel="0" max="6" min="6" style="0" width="4"/>
    <col collapsed="false" customWidth="true" hidden="false" outlineLevel="0" max="7" min="7" style="0" width="44"/>
    <col collapsed="false" customWidth="true" hidden="false" outlineLevel="0" max="8" min="8" style="0" width="16"/>
  </cols>
  <sheetData>
    <row r="1" customFormat="false" ht="24" hidden="false" customHeight="true" outlineLevel="0" collapsed="false">
      <c r="A1" s="17" t="s">
        <v>236</v>
      </c>
    </row>
    <row r="2" customFormat="false" ht="15" hidden="false" customHeight="false" outlineLevel="0" collapsed="false">
      <c r="A2" s="18" t="str">
        <f aca="false">"Scénario : "&amp;Hypothèses!$B$7&amp;" · montants en USD (CDF au taux de "&amp;TEXT(Hypothèses!$B$8,"#,##0")&amp;" pour 1 $)"</f>
        <v>Scénario : Réaliste · montants en USD (CDF au taux de 2,850 pour 1 $)</v>
      </c>
    </row>
    <row r="4" customFormat="false" ht="15" hidden="false" customHeight="false" outlineLevel="0" collapsed="false">
      <c r="A4" s="21" t="s">
        <v>237</v>
      </c>
      <c r="B4" s="21" t="s">
        <v>238</v>
      </c>
      <c r="C4" s="21" t="s">
        <v>239</v>
      </c>
      <c r="D4" s="21" t="s">
        <v>240</v>
      </c>
      <c r="E4" s="21" t="s">
        <v>241</v>
      </c>
      <c r="G4" s="61" t="s">
        <v>242</v>
      </c>
      <c r="H4" s="62"/>
    </row>
    <row r="5" customFormat="false" ht="15" hidden="false" customHeight="false" outlineLevel="0" collapsed="false">
      <c r="A5" s="19" t="s">
        <v>243</v>
      </c>
      <c r="B5" s="20"/>
      <c r="C5" s="20"/>
      <c r="D5" s="20"/>
      <c r="E5" s="20"/>
      <c r="G5" s="13" t="s">
        <v>9</v>
      </c>
      <c r="H5" s="63" t="str">
        <f aca="false">IF(MIN(Prévisions!$C$60:$AL$60)=999,"Pas en 3 ans","Mois "&amp;MIN(Prévisions!$C$60:$AL$60))</f>
        <v>Mois 16</v>
      </c>
    </row>
    <row r="6" customFormat="false" ht="15" hidden="false" customHeight="false" outlineLevel="0" collapsed="false">
      <c r="A6" s="13" t="s">
        <v>189</v>
      </c>
      <c r="B6" s="64" t="n">
        <f aca="false">INDEX(Prévisions!$C$10:$AL$10,12)</f>
        <v>53.2236051456192</v>
      </c>
      <c r="C6" s="64" t="n">
        <f aca="false">INDEX(Prévisions!$C$10:$AL$10,24)</f>
        <v>131.208026982087</v>
      </c>
      <c r="D6" s="64" t="n">
        <f aca="false">INDEX(Prévisions!$C$10:$AL$10,36)</f>
        <v>241.981780203308</v>
      </c>
      <c r="E6" s="60" t="n">
        <f aca="false">D6</f>
        <v>241.981780203308</v>
      </c>
      <c r="G6" s="13" t="s">
        <v>244</v>
      </c>
      <c r="H6" s="63" t="str">
        <f aca="false">IF(MIN(Prévisions!$C$61:$AL$61)=999,"Pas en 3 ans","Mois "&amp;MIN(Prévisions!$C$61:$AL$61))</f>
        <v>Mois 29</v>
      </c>
    </row>
    <row r="7" customFormat="false" ht="15" hidden="false" customHeight="false" outlineLevel="0" collapsed="false">
      <c r="A7" s="13" t="s">
        <v>192</v>
      </c>
      <c r="B7" s="64" t="n">
        <f aca="false">INDEX(Prévisions!$C$13:$AL$13,12)</f>
        <v>172.786401412094</v>
      </c>
      <c r="C7" s="64" t="n">
        <f aca="false">INDEX(Prévisions!$C$13:$AL$13,24)</f>
        <v>434.150641794212</v>
      </c>
      <c r="D7" s="64" t="n">
        <f aca="false">INDEX(Prévisions!$C$13:$AL$13,36)</f>
        <v>804.37908293186</v>
      </c>
      <c r="E7" s="60" t="n">
        <f aca="false">D7</f>
        <v>804.37908293186</v>
      </c>
      <c r="G7" s="13" t="s">
        <v>10</v>
      </c>
      <c r="H7" s="65" t="n">
        <f aca="false">-MIN(0,MIN(Prévisions!$C$58:$AL$58))</f>
        <v>15455.2813353069</v>
      </c>
    </row>
    <row r="8" customFormat="false" ht="15" hidden="false" customHeight="false" outlineLevel="0" collapsed="false">
      <c r="A8" s="13" t="s">
        <v>194</v>
      </c>
      <c r="B8" s="64" t="n">
        <f aca="false">INDEX(Prévisions!$C$15:$AL$15,12)</f>
        <v>3150.85667777305</v>
      </c>
      <c r="C8" s="64" t="n">
        <f aca="false">INDEX(Prévisions!$C$15:$AL$15,24)</f>
        <v>7418.2164876083</v>
      </c>
      <c r="D8" s="64" t="n">
        <f aca="false">INDEX(Prévisions!$C$15:$AL$15,36)</f>
        <v>13159.3987550997</v>
      </c>
      <c r="E8" s="60" t="n">
        <f aca="false">D8</f>
        <v>13159.3987550997</v>
      </c>
      <c r="G8" s="13" t="s">
        <v>245</v>
      </c>
      <c r="H8" s="65" t="n">
        <f aca="false">INDEX(Prévisions!$C$57:$AL$57,36)</f>
        <v>4153.06362926794</v>
      </c>
    </row>
    <row r="9" customFormat="false" ht="15" hidden="false" customHeight="false" outlineLevel="0" collapsed="false">
      <c r="A9" s="13" t="s">
        <v>246</v>
      </c>
      <c r="B9" s="64" t="n">
        <f aca="false">INDEX(Prévisions!$C$17:$AL$17,12)</f>
        <v>4.79012446310573</v>
      </c>
      <c r="C9" s="64" t="n">
        <f aca="false">INDEX(Prévisions!$C$17:$AL$17,24)</f>
        <v>11.8087224283878</v>
      </c>
      <c r="D9" s="64" t="n">
        <f aca="false">INDEX(Prévisions!$C$17:$AL$17,36)</f>
        <v>21.7783602182977</v>
      </c>
      <c r="E9" s="60" t="n">
        <f aca="false">D9</f>
        <v>21.7783602182977</v>
      </c>
      <c r="G9" s="13" t="s">
        <v>247</v>
      </c>
      <c r="H9" s="65" t="n">
        <f aca="false">INDEX(Prévisions!$C$58:$AL$58,36)</f>
        <v>23796.9233440234</v>
      </c>
    </row>
    <row r="10" customFormat="false" ht="15" hidden="false" customHeight="false" outlineLevel="0" collapsed="false">
      <c r="G10" s="13" t="s">
        <v>248</v>
      </c>
      <c r="H10" s="66" t="n">
        <f aca="false">IF(D24=0,0,(D21+D22+D23)/(1+Hypothèses!$B$10*Hypothèses!$B$11)/D24)</f>
        <v>0.160009334196592</v>
      </c>
    </row>
    <row r="11" customFormat="false" ht="15" hidden="false" customHeight="false" outlineLevel="0" collapsed="false">
      <c r="A11" s="19" t="s">
        <v>249</v>
      </c>
      <c r="B11" s="20"/>
      <c r="C11" s="20"/>
      <c r="D11" s="20"/>
      <c r="E11" s="20"/>
      <c r="G11" s="13" t="s">
        <v>250</v>
      </c>
      <c r="H11" s="66" t="n">
        <f aca="false">IF(D24=0,0,D18/(1+Hypothèses!$B$10*Hypothèses!$B$11)/D24)</f>
        <v>0.0482034635649023</v>
      </c>
    </row>
    <row r="12" customFormat="false" ht="15" hidden="false" customHeight="false" outlineLevel="0" collapsed="false">
      <c r="A12" s="13" t="s">
        <v>205</v>
      </c>
      <c r="B12" s="67" t="n">
        <f aca="false">SUMIF(Prévisions!$C$5:$AL$5,1,Prévisions!$C$30:$AL$30)</f>
        <v>1242362.6855556</v>
      </c>
      <c r="C12" s="67" t="n">
        <f aca="false">SUMIF(Prévisions!$C$5:$AL$5,2,Prévisions!$C$30:$AL$30)</f>
        <v>4167499.22925244</v>
      </c>
      <c r="D12" s="67" t="n">
        <f aca="false">SUMIF(Prévisions!$C$5:$AL$5,3,Prévisions!$C$30:$AL$30)</f>
        <v>8286111.8598978</v>
      </c>
      <c r="E12" s="57" t="n">
        <f aca="false">SUM(B12:D12)</f>
        <v>13695973.7747058</v>
      </c>
    </row>
    <row r="13" customFormat="false" ht="15" hidden="false" customHeight="false" outlineLevel="0" collapsed="false">
      <c r="A13" s="13" t="s">
        <v>251</v>
      </c>
      <c r="B13" s="67" t="n">
        <f aca="false">SUMIF(Prévisions!$C$5:$AL$5,1,Prévisions!$C$27:$AL$27)</f>
        <v>28380.1579974233</v>
      </c>
      <c r="C13" s="67" t="n">
        <f aca="false">SUMIF(Prévisions!$C$5:$AL$5,2,Prévisions!$C$27:$AL$27)</f>
        <v>124530.25032971</v>
      </c>
      <c r="D13" s="67" t="n">
        <f aca="false">SUMIF(Prévisions!$C$5:$AL$5,3,Prévisions!$C$27:$AL$27)</f>
        <v>319956.523415057</v>
      </c>
      <c r="E13" s="57" t="n">
        <f aca="false">SUM(B13:D13)</f>
        <v>472866.93174219</v>
      </c>
    </row>
    <row r="15" customFormat="false" ht="15" hidden="false" customHeight="false" outlineLevel="0" collapsed="false">
      <c r="A15" s="19" t="s">
        <v>252</v>
      </c>
      <c r="B15" s="20"/>
      <c r="C15" s="20"/>
      <c r="D15" s="20"/>
      <c r="E15" s="20"/>
    </row>
    <row r="16" customFormat="false" ht="15" hidden="false" customHeight="false" outlineLevel="0" collapsed="false">
      <c r="A16" s="13" t="s">
        <v>253</v>
      </c>
      <c r="B16" s="67" t="n">
        <f aca="false">SUMIF(Prévisions!$C$5:$AL$5,1,Prévisions!$C$33:$AL$33)</f>
        <v>14736.7687344676</v>
      </c>
      <c r="C16" s="67" t="n">
        <f aca="false">SUMIF(Prévisions!$C$5:$AL$5,2,Prévisions!$C$33:$AL$33)</f>
        <v>50151.8942243632</v>
      </c>
      <c r="D16" s="67" t="n">
        <f aca="false">SUMIF(Prévisions!$C$5:$AL$5,3,Prévisions!$C$33:$AL$33)</f>
        <v>101095.392385436</v>
      </c>
      <c r="E16" s="57" t="n">
        <f aca="false">SUM(B16:D16)</f>
        <v>165984.055344267</v>
      </c>
    </row>
    <row r="17" customFormat="false" ht="15" hidden="false" customHeight="false" outlineLevel="0" collapsed="false">
      <c r="A17" s="13" t="s">
        <v>208</v>
      </c>
      <c r="B17" s="67" t="n">
        <f aca="false">SUMIF(Prévisions!$C$5:$AL$5,1,Prévisions!$C$34:$AL$34)</f>
        <v>731.122732041197</v>
      </c>
      <c r="C17" s="67" t="n">
        <f aca="false">SUMIF(Prévisions!$C$5:$AL$5,2,Prévisions!$C$34:$AL$34)</f>
        <v>2423.77511356233</v>
      </c>
      <c r="D17" s="67" t="n">
        <f aca="false">SUMIF(Prévisions!$C$5:$AL$5,3,Prévisions!$C$34:$AL$34)</f>
        <v>4864.01626435976</v>
      </c>
      <c r="E17" s="57" t="n">
        <f aca="false">SUM(B17:D17)</f>
        <v>8018.91410996329</v>
      </c>
    </row>
    <row r="18" customFormat="false" ht="15" hidden="false" customHeight="false" outlineLevel="0" collapsed="false">
      <c r="A18" s="13" t="s">
        <v>209</v>
      </c>
      <c r="B18" s="67" t="n">
        <f aca="false">SUMIF(Prévisions!$C$5:$AL$5,1,Prévisions!$C$35:$AL$35)</f>
        <v>709.503949935584</v>
      </c>
      <c r="C18" s="67" t="n">
        <f aca="false">SUMIF(Prévisions!$C$5:$AL$5,2,Prévisions!$C$35:$AL$35)</f>
        <v>3113.25625824274</v>
      </c>
      <c r="D18" s="67" t="n">
        <f aca="false">SUMIF(Prévisions!$C$5:$AL$5,3,Prévisions!$C$35:$AL$35)</f>
        <v>7998.91308537643</v>
      </c>
      <c r="E18" s="57" t="n">
        <f aca="false">SUM(B18:D18)</f>
        <v>11821.6732935548</v>
      </c>
    </row>
    <row r="19" customFormat="false" ht="15" hidden="false" customHeight="false" outlineLevel="0" collapsed="false">
      <c r="A19" s="13" t="s">
        <v>210</v>
      </c>
      <c r="B19" s="67" t="n">
        <f aca="false">SUMIF(Prévisions!$C$5:$AL$5,1,Prévisions!$C$36:$AL$36)</f>
        <v>3712.2939519621</v>
      </c>
      <c r="C19" s="67" t="n">
        <f aca="false">SUMIF(Prévisions!$C$5:$AL$5,2,Prévisions!$C$36:$AL$36)</f>
        <v>12618.1606411021</v>
      </c>
      <c r="D19" s="67" t="n">
        <f aca="false">SUMIF(Prévisions!$C$5:$AL$5,3,Prévisions!$C$36:$AL$36)</f>
        <v>25430.2580759509</v>
      </c>
      <c r="E19" s="57" t="n">
        <f aca="false">SUM(B19:D19)</f>
        <v>41760.7126690152</v>
      </c>
    </row>
    <row r="20" customFormat="false" ht="15" hidden="false" customHeight="false" outlineLevel="0" collapsed="false">
      <c r="A20" s="13" t="s">
        <v>211</v>
      </c>
      <c r="B20" s="67" t="n">
        <f aca="false">SUMIF(Prévisions!$C$5:$AL$5,1,Prévisions!$C$37:$AL$37)</f>
        <v>0</v>
      </c>
      <c r="C20" s="67" t="n">
        <f aca="false">SUMIF(Prévisions!$C$5:$AL$5,2,Prévisions!$C$37:$AL$37)</f>
        <v>0</v>
      </c>
      <c r="D20" s="67" t="n">
        <f aca="false">SUMIF(Prévisions!$C$5:$AL$5,3,Prévisions!$C$37:$AL$37)</f>
        <v>0</v>
      </c>
      <c r="E20" s="57" t="n">
        <f aca="false">SUM(B20:D20)</f>
        <v>0</v>
      </c>
    </row>
    <row r="21" customFormat="false" ht="15" hidden="false" customHeight="false" outlineLevel="0" collapsed="false">
      <c r="A21" s="13" t="s">
        <v>212</v>
      </c>
      <c r="B21" s="67" t="n">
        <f aca="false">SUMIF(Prévisions!$C$5:$AL$5,1,Prévisions!$C$38:$AL$38)</f>
        <v>3046.34471683832</v>
      </c>
      <c r="C21" s="67" t="n">
        <f aca="false">SUMIF(Prévisions!$C$5:$AL$5,2,Prévisions!$C$38:$AL$38)</f>
        <v>10099.0629731764</v>
      </c>
      <c r="D21" s="67" t="n">
        <f aca="false">SUMIF(Prévisions!$C$5:$AL$5,3,Prévisions!$C$38:$AL$38)</f>
        <v>20266.7344348323</v>
      </c>
      <c r="E21" s="57" t="n">
        <f aca="false">SUM(B21:D21)</f>
        <v>33412.142124847</v>
      </c>
    </row>
    <row r="22" customFormat="false" ht="15" hidden="false" customHeight="false" outlineLevel="0" collapsed="false">
      <c r="A22" s="13" t="s">
        <v>213</v>
      </c>
      <c r="B22" s="67" t="n">
        <f aca="false">SUMIF(Prévisions!$C$5:$AL$5,1,Prévisions!$C$39:$AL$39)</f>
        <v>289.40274809964</v>
      </c>
      <c r="C22" s="67" t="n">
        <f aca="false">SUMIF(Prévisions!$C$5:$AL$5,2,Prévisions!$C$39:$AL$39)</f>
        <v>959.410982451755</v>
      </c>
      <c r="D22" s="67" t="n">
        <f aca="false">SUMIF(Prévisions!$C$5:$AL$5,3,Prévisions!$C$39:$AL$39)</f>
        <v>1925.33977130907</v>
      </c>
      <c r="E22" s="57" t="n">
        <f aca="false">SUM(B22:D22)</f>
        <v>3174.15350186047</v>
      </c>
    </row>
    <row r="23" customFormat="false" ht="15" hidden="false" customHeight="false" outlineLevel="0" collapsed="false">
      <c r="A23" s="13" t="s">
        <v>214</v>
      </c>
      <c r="B23" s="67" t="n">
        <f aca="false">SUMIF(Prévisions!$C$5:$AL$5,1,Prévisions!$C$40:$AL$40)</f>
        <v>696.218560114418</v>
      </c>
      <c r="C23" s="67" t="n">
        <f aca="false">SUMIF(Prévisions!$C$5:$AL$5,2,Prévisions!$C$40:$AL$40)</f>
        <v>2268.93825193651</v>
      </c>
      <c r="D23" s="67" t="n">
        <f aca="false">SUMIF(Prévisions!$C$5:$AL$5,3,Prévisions!$C$40:$AL$40)</f>
        <v>4359.97542747476</v>
      </c>
      <c r="E23" s="57" t="n">
        <f aca="false">SUM(B23:D23)</f>
        <v>7325.13223952569</v>
      </c>
    </row>
    <row r="24" customFormat="false" ht="15" hidden="false" customHeight="false" outlineLevel="0" collapsed="false">
      <c r="A24" s="54" t="s">
        <v>217</v>
      </c>
      <c r="B24" s="39" t="n">
        <f aca="false">SUMIF(Prévisions!$C$5:$AL$5,1,Prévisions!$C$43:$AL$43)</f>
        <v>20622.116718499</v>
      </c>
      <c r="C24" s="39" t="n">
        <f aca="false">SUMIF(Prévisions!$C$5:$AL$5,2,Prévisions!$C$43:$AL$43)</f>
        <v>70374.5676248577</v>
      </c>
      <c r="D24" s="39" t="n">
        <f aca="false">SUMIF(Prévisions!$C$5:$AL$5,3,Prévisions!$C$43:$AL$43)</f>
        <v>143052.266762706</v>
      </c>
      <c r="E24" s="39" t="n">
        <f aca="false">SUM(B24:D24)</f>
        <v>234048.951106063</v>
      </c>
    </row>
    <row r="26" customFormat="false" ht="15" hidden="false" customHeight="false" outlineLevel="0" collapsed="false">
      <c r="A26" s="19" t="s">
        <v>254</v>
      </c>
      <c r="B26" s="20"/>
      <c r="C26" s="20"/>
      <c r="D26" s="20"/>
      <c r="E26" s="20"/>
    </row>
    <row r="27" customFormat="false" ht="15" hidden="false" customHeight="false" outlineLevel="0" collapsed="false">
      <c r="A27" s="13" t="s">
        <v>255</v>
      </c>
      <c r="B27" s="67" t="n">
        <f aca="false">SUMIF(Prévisions!$C$5:$AL$5,1,Prévisions!$C$46:$AL$46)</f>
        <v>7424.5879039242</v>
      </c>
      <c r="C27" s="67" t="n">
        <f aca="false">SUMIF(Prévisions!$C$5:$AL$5,2,Prévisions!$C$46:$AL$46)</f>
        <v>25236.3212822042</v>
      </c>
      <c r="D27" s="67" t="n">
        <f aca="false">SUMIF(Prévisions!$C$5:$AL$5,3,Prévisions!$C$46:$AL$46)</f>
        <v>50860.5161519019</v>
      </c>
      <c r="E27" s="57" t="n">
        <f aca="false">SUM(B27:D27)</f>
        <v>83521.4253380303</v>
      </c>
    </row>
    <row r="28" customFormat="false" ht="15" hidden="false" customHeight="false" outlineLevel="0" collapsed="false">
      <c r="A28" s="13" t="s">
        <v>256</v>
      </c>
      <c r="B28" s="67" t="n">
        <f aca="false">SUMIF(Prévisions!$C$5:$AL$5,1,Prévisions!$C$50:$AL$50)</f>
        <v>2561.91207213203</v>
      </c>
      <c r="C28" s="67" t="n">
        <f aca="false">SUMIF(Prévisions!$C$5:$AL$5,2,Prévisions!$C$50:$AL$50)</f>
        <v>4918.87945913828</v>
      </c>
      <c r="D28" s="67" t="n">
        <f aca="false">SUMIF(Prévisions!$C$5:$AL$5,3,Prévisions!$C$50:$AL$50)</f>
        <v>7875.28449333116</v>
      </c>
      <c r="E28" s="57" t="n">
        <f aca="false">SUM(B28:D28)</f>
        <v>15356.0760246015</v>
      </c>
    </row>
    <row r="29" customFormat="false" ht="15" hidden="false" customHeight="false" outlineLevel="0" collapsed="false">
      <c r="A29" s="13" t="s">
        <v>257</v>
      </c>
      <c r="B29" s="67" t="n">
        <f aca="false">SUMIF(Prévisions!$C$5:$AL$5,1,Prévisions!$C$51:$AL$51)</f>
        <v>23724</v>
      </c>
      <c r="C29" s="67" t="n">
        <f aca="false">SUMIF(Prévisions!$C$5:$AL$5,2,Prévisions!$C$51:$AL$51)</f>
        <v>29655</v>
      </c>
      <c r="D29" s="67" t="n">
        <f aca="false">SUMIF(Prévisions!$C$5:$AL$5,3,Prévisions!$C$51:$AL$51)</f>
        <v>37068.75</v>
      </c>
      <c r="E29" s="57" t="n">
        <f aca="false">SUM(B29:D29)</f>
        <v>90447.75</v>
      </c>
    </row>
    <row r="30" customFormat="false" ht="15" hidden="false" customHeight="false" outlineLevel="0" collapsed="false">
      <c r="A30" s="54" t="s">
        <v>225</v>
      </c>
      <c r="B30" s="39" t="n">
        <f aca="false">SUMIF(Prévisions!$C$5:$AL$5,1,Prévisions!$C$52:$AL$52)</f>
        <v>34159.2634645016</v>
      </c>
      <c r="C30" s="39" t="n">
        <f aca="false">SUMIF(Prévisions!$C$5:$AL$5,2,Prévisions!$C$52:$AL$52)</f>
        <v>60786.607474793</v>
      </c>
      <c r="D30" s="39" t="n">
        <f aca="false">SUMIF(Prévisions!$C$5:$AL$5,3,Prévisions!$C$52:$AL$52)</f>
        <v>97458.7833887461</v>
      </c>
      <c r="E30" s="39" t="n">
        <f aca="false">SUM(B30:D30)</f>
        <v>192404.654328041</v>
      </c>
    </row>
    <row r="31" customFormat="false" ht="15" hidden="false" customHeight="false" outlineLevel="0" collapsed="false">
      <c r="A31" s="54" t="s">
        <v>227</v>
      </c>
      <c r="B31" s="39" t="n">
        <f aca="false">SUMIF(Prévisions!$C$5:$AL$5,1,Prévisions!$C$55:$AL$55)</f>
        <v>-13537.1467460027</v>
      </c>
      <c r="C31" s="39" t="n">
        <f aca="false">SUMIF(Prévisions!$C$5:$AL$5,2,Prévisions!$C$55:$AL$55)</f>
        <v>9587.96015006471</v>
      </c>
      <c r="D31" s="39" t="n">
        <f aca="false">SUMIF(Prévisions!$C$5:$AL$5,3,Prévisions!$C$55:$AL$55)</f>
        <v>45593.4833739601</v>
      </c>
      <c r="E31" s="39" t="n">
        <f aca="false">SUM(B31:D31)</f>
        <v>41644.2967780221</v>
      </c>
    </row>
    <row r="32" customFormat="false" ht="15" hidden="false" customHeight="false" outlineLevel="0" collapsed="false">
      <c r="A32" s="54" t="s">
        <v>229</v>
      </c>
      <c r="B32" s="39" t="n">
        <f aca="false">SUMIF(Prévisions!$C$5:$AL$5,1,Prévisions!$C$57:$AL$57)</f>
        <v>-13537.1467460027</v>
      </c>
      <c r="C32" s="39" t="n">
        <f aca="false">SUMIF(Prévisions!$C$5:$AL$5,2,Prévisions!$C$57:$AL$57)</f>
        <v>6443.63172825402</v>
      </c>
      <c r="D32" s="39" t="n">
        <f aca="false">SUMIF(Prévisions!$C$5:$AL$5,3,Prévisions!$C$57:$AL$57)</f>
        <v>31915.438361772</v>
      </c>
      <c r="E32" s="39" t="n">
        <f aca="false">SUM(B32:D32)</f>
        <v>24821.9233440234</v>
      </c>
    </row>
    <row r="33" customFormat="false" ht="15" hidden="false" customHeight="false" outlineLevel="0" collapsed="false">
      <c r="A33" s="38" t="s">
        <v>231</v>
      </c>
      <c r="B33" s="59" t="n">
        <f aca="false">IF(B24=0,0,B32/B24)</f>
        <v>-0.656438275992261</v>
      </c>
      <c r="C33" s="59" t="n">
        <f aca="false">IF(C24=0,0,C32/C24)</f>
        <v>0.0915619370139903</v>
      </c>
      <c r="D33" s="59" t="n">
        <f aca="false">IF(D24=0,0,D32/D24)</f>
        <v>0.223103338968498</v>
      </c>
      <c r="E33" s="59" t="n">
        <f aca="false">IF(E24=0,0,E32/E24)</f>
        <v>0.106054409672509</v>
      </c>
    </row>
  </sheetData>
  <conditionalFormatting sqref="B31:E31">
    <cfRule type="cellIs" priority="2" operator="lessThan" aboveAverage="0" equalAverage="0" bottom="0" percent="0" rank="0" text="" dxfId="0">
      <formula>0</formula>
    </cfRule>
  </conditionalFormatting>
  <conditionalFormatting sqref="B32:E32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2F5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4"/>
  </cols>
  <sheetData>
    <row r="1" customFormat="false" ht="24" hidden="false" customHeight="true" outlineLevel="0" collapsed="false">
      <c r="A1" s="17" t="s">
        <v>258</v>
      </c>
    </row>
    <row r="2" customFormat="false" ht="15" hidden="false" customHeight="false" outlineLevel="0" collapsed="false">
      <c r="A2" s="18" t="s">
        <v>259</v>
      </c>
    </row>
    <row r="4" customFormat="false" ht="15" hidden="false" customHeight="false" outlineLevel="0" collapsed="false">
      <c r="A4" s="49" t="s">
        <v>260</v>
      </c>
      <c r="B4" s="68" t="n">
        <f aca="false">1+Hypothèses!$B$10*Hypothèses!$B$11</f>
        <v>1.16</v>
      </c>
    </row>
    <row r="6" customFormat="false" ht="15" hidden="false" customHeight="false" outlineLevel="0" collapsed="false">
      <c r="A6" s="19" t="s">
        <v>261</v>
      </c>
      <c r="B6" s="20"/>
      <c r="C6" s="20"/>
      <c r="D6" s="20"/>
      <c r="E6" s="20"/>
      <c r="F6" s="20"/>
      <c r="G6" s="20"/>
      <c r="H6" s="20"/>
    </row>
    <row r="7" customFormat="false" ht="15" hidden="false" customHeight="false" outlineLevel="0" collapsed="false">
      <c r="A7" s="69" t="s">
        <v>262</v>
      </c>
      <c r="B7" s="64" t="n">
        <f aca="false">SUMIF(Prévisions!$C$5:$AL$5,1,Prévisions!$C$10:$AL$10)</f>
        <v>338.482746315369</v>
      </c>
    </row>
    <row r="8" customFormat="false" ht="15" hidden="false" customHeight="false" outlineLevel="0" collapsed="false">
      <c r="A8" s="21" t="s">
        <v>263</v>
      </c>
      <c r="B8" s="70" t="n">
        <v>0.4</v>
      </c>
      <c r="C8" s="70" t="n">
        <v>0.5</v>
      </c>
      <c r="D8" s="70" t="n">
        <v>0.6</v>
      </c>
      <c r="E8" s="70" t="n">
        <v>0.7</v>
      </c>
      <c r="F8" s="70" t="n">
        <v>0.8</v>
      </c>
    </row>
    <row r="9" customFormat="false" ht="15" hidden="false" customHeight="false" outlineLevel="0" collapsed="false">
      <c r="A9" s="71" t="n">
        <v>5</v>
      </c>
      <c r="B9" s="72" t="n">
        <f aca="false">$A9*B$8*$B$7/Prix!$B$4</f>
        <v>583.59094192305</v>
      </c>
      <c r="C9" s="72" t="n">
        <f aca="false">$A9*C$8*$B$7/Prix!$B$4</f>
        <v>729.488677403812</v>
      </c>
      <c r="D9" s="72" t="n">
        <f aca="false">$A9*D$8*$B$7/Prix!$B$4</f>
        <v>875.386412884575</v>
      </c>
      <c r="E9" s="72" t="n">
        <f aca="false">$A9*E$8*$B$7/Prix!$B$4</f>
        <v>1021.28414836534</v>
      </c>
      <c r="F9" s="72" t="n">
        <f aca="false">$A9*F$8*$B$7/Prix!$B$4</f>
        <v>1167.1818838461</v>
      </c>
    </row>
    <row r="10" customFormat="false" ht="15" hidden="false" customHeight="false" outlineLevel="0" collapsed="false">
      <c r="A10" s="71" t="n">
        <v>10</v>
      </c>
      <c r="B10" s="72" t="n">
        <f aca="false">$A10*B$8*$B$7/Prix!$B$4</f>
        <v>1167.1818838461</v>
      </c>
      <c r="C10" s="72" t="n">
        <f aca="false">$A10*C$8*$B$7/Prix!$B$4</f>
        <v>1458.97735480762</v>
      </c>
      <c r="D10" s="72" t="n">
        <f aca="false">$A10*D$8*$B$7/Prix!$B$4</f>
        <v>1750.77282576915</v>
      </c>
      <c r="E10" s="72" t="n">
        <f aca="false">$A10*E$8*$B$7/Prix!$B$4</f>
        <v>2042.56829673067</v>
      </c>
      <c r="F10" s="72" t="n">
        <f aca="false">$A10*F$8*$B$7/Prix!$B$4</f>
        <v>2334.3637676922</v>
      </c>
    </row>
    <row r="11" customFormat="false" ht="15" hidden="false" customHeight="false" outlineLevel="0" collapsed="false">
      <c r="A11" s="71" t="n">
        <v>15</v>
      </c>
      <c r="B11" s="72" t="n">
        <f aca="false">$A11*B$8*$B$7/Prix!$B$4</f>
        <v>1750.77282576915</v>
      </c>
      <c r="C11" s="72" t="n">
        <f aca="false">$A11*C$8*$B$7/Prix!$B$4</f>
        <v>2188.46603221144</v>
      </c>
      <c r="D11" s="72" t="n">
        <f aca="false">$A11*D$8*$B$7/Prix!$B$4</f>
        <v>2626.15923865372</v>
      </c>
      <c r="E11" s="72" t="n">
        <f aca="false">$A11*E$8*$B$7/Prix!$B$4</f>
        <v>3063.85244509601</v>
      </c>
      <c r="F11" s="72" t="n">
        <f aca="false">$A11*F$8*$B$7/Prix!$B$4</f>
        <v>3501.5456515383</v>
      </c>
    </row>
    <row r="12" customFormat="false" ht="15" hidden="false" customHeight="false" outlineLevel="0" collapsed="false">
      <c r="A12" s="71" t="n">
        <v>20</v>
      </c>
      <c r="B12" s="72" t="n">
        <f aca="false">$A12*B$8*$B$7/Prix!$B$4</f>
        <v>2334.3637676922</v>
      </c>
      <c r="C12" s="72" t="n">
        <f aca="false">$A12*C$8*$B$7/Prix!$B$4</f>
        <v>2917.95470961525</v>
      </c>
      <c r="D12" s="72" t="n">
        <f aca="false">$A12*D$8*$B$7/Prix!$B$4</f>
        <v>3501.5456515383</v>
      </c>
      <c r="E12" s="72" t="n">
        <f aca="false">$A12*E$8*$B$7/Prix!$B$4</f>
        <v>4085.13659346135</v>
      </c>
      <c r="F12" s="72" t="n">
        <f aca="false">$A12*F$8*$B$7/Prix!$B$4</f>
        <v>4668.7275353844</v>
      </c>
    </row>
    <row r="13" customFormat="false" ht="15" hidden="false" customHeight="false" outlineLevel="0" collapsed="false">
      <c r="A13" s="71" t="n">
        <v>25</v>
      </c>
      <c r="B13" s="72" t="n">
        <f aca="false">$A13*B$8*$B$7/Prix!$B$4</f>
        <v>2917.95470961525</v>
      </c>
      <c r="C13" s="72" t="n">
        <f aca="false">$A13*C$8*$B$7/Prix!$B$4</f>
        <v>3647.44338701906</v>
      </c>
      <c r="D13" s="72" t="n">
        <f aca="false">$A13*D$8*$B$7/Prix!$B$4</f>
        <v>4376.93206442287</v>
      </c>
      <c r="E13" s="72" t="n">
        <f aca="false">$A13*E$8*$B$7/Prix!$B$4</f>
        <v>5106.42074182669</v>
      </c>
      <c r="F13" s="72" t="n">
        <f aca="false">$A13*F$8*$B$7/Prix!$B$4</f>
        <v>5835.9094192305</v>
      </c>
    </row>
    <row r="14" customFormat="false" ht="15" hidden="false" customHeight="false" outlineLevel="0" collapsed="false">
      <c r="A14" s="71" t="n">
        <v>30</v>
      </c>
      <c r="B14" s="72" t="n">
        <f aca="false">$A14*B$8*$B$7/Prix!$B$4</f>
        <v>3501.5456515383</v>
      </c>
      <c r="C14" s="72" t="n">
        <f aca="false">$A14*C$8*$B$7/Prix!$B$4</f>
        <v>4376.93206442287</v>
      </c>
      <c r="D14" s="72" t="n">
        <f aca="false">$A14*D$8*$B$7/Prix!$B$4</f>
        <v>5252.31847730745</v>
      </c>
      <c r="E14" s="72" t="n">
        <f aca="false">$A14*E$8*$B$7/Prix!$B$4</f>
        <v>6127.70489019202</v>
      </c>
      <c r="F14" s="72" t="n">
        <f aca="false">$A14*F$8*$B$7/Prix!$B$4</f>
        <v>7003.0913030766</v>
      </c>
    </row>
    <row r="15" customFormat="false" ht="15" hidden="false" customHeight="false" outlineLevel="0" collapsed="false">
      <c r="A15" s="37" t="s">
        <v>264</v>
      </c>
    </row>
    <row r="17" customFormat="false" ht="15" hidden="false" customHeight="false" outlineLevel="0" collapsed="false">
      <c r="A17" s="19" t="s">
        <v>265</v>
      </c>
      <c r="B17" s="20"/>
      <c r="C17" s="20"/>
      <c r="D17" s="20"/>
      <c r="E17" s="20"/>
      <c r="F17" s="20"/>
      <c r="G17" s="20"/>
      <c r="H17" s="20"/>
    </row>
    <row r="18" customFormat="false" ht="15" hidden="false" customHeight="false" outlineLevel="0" collapsed="false">
      <c r="A18" s="69" t="s">
        <v>266</v>
      </c>
      <c r="B18" s="73" t="n">
        <f aca="false">(1-Hypothèses!$B$31)+Hypothèses!$B$31*(12-Hypothèses!$B$30)/12</f>
        <v>0.95</v>
      </c>
    </row>
    <row r="19" customFormat="false" ht="15" hidden="false" customHeight="false" outlineLevel="0" collapsed="false">
      <c r="A19" s="21" t="s">
        <v>267</v>
      </c>
      <c r="B19" s="21" t="n">
        <v>10</v>
      </c>
      <c r="C19" s="21" t="n">
        <v>25</v>
      </c>
      <c r="D19" s="21" t="n">
        <v>50</v>
      </c>
      <c r="E19" s="21" t="n">
        <v>100</v>
      </c>
      <c r="F19" s="21" t="n">
        <v>200</v>
      </c>
      <c r="G19" s="21" t="n">
        <v>500</v>
      </c>
    </row>
    <row r="20" customFormat="false" ht="15" hidden="false" customHeight="false" outlineLevel="0" collapsed="false">
      <c r="A20" s="71" t="n">
        <v>5</v>
      </c>
      <c r="B20" s="72" t="n">
        <f aca="false">$A20*B$19*$B$18/Prix!$B$4</f>
        <v>40.948275862069</v>
      </c>
      <c r="C20" s="72" t="n">
        <f aca="false">$A20*C$19*$B$18/Prix!$B$4</f>
        <v>102.370689655172</v>
      </c>
      <c r="D20" s="72" t="n">
        <f aca="false">$A20*D$19*$B$18/Prix!$B$4</f>
        <v>204.741379310345</v>
      </c>
      <c r="E20" s="72" t="n">
        <f aca="false">$A20*E$19*$B$18/Prix!$B$4</f>
        <v>409.48275862069</v>
      </c>
      <c r="F20" s="72" t="n">
        <f aca="false">$A20*F$19*$B$18/Prix!$B$4</f>
        <v>818.965517241379</v>
      </c>
      <c r="G20" s="72" t="n">
        <f aca="false">$A20*G$19*$B$18/Prix!$B$4</f>
        <v>2047.41379310345</v>
      </c>
    </row>
    <row r="21" customFormat="false" ht="15" hidden="false" customHeight="false" outlineLevel="0" collapsed="false">
      <c r="A21" s="71" t="n">
        <v>8</v>
      </c>
      <c r="B21" s="72" t="n">
        <f aca="false">$A21*B$19*$B$18/Prix!$B$4</f>
        <v>65.5172413793104</v>
      </c>
      <c r="C21" s="72" t="n">
        <f aca="false">$A21*C$19*$B$18/Prix!$B$4</f>
        <v>163.793103448276</v>
      </c>
      <c r="D21" s="72" t="n">
        <f aca="false">$A21*D$19*$B$18/Prix!$B$4</f>
        <v>327.586206896552</v>
      </c>
      <c r="E21" s="72" t="n">
        <f aca="false">$A21*E$19*$B$18/Prix!$B$4</f>
        <v>655.172413793104</v>
      </c>
      <c r="F21" s="72" t="n">
        <f aca="false">$A21*F$19*$B$18/Prix!$B$4</f>
        <v>1310.34482758621</v>
      </c>
      <c r="G21" s="72" t="n">
        <f aca="false">$A21*G$19*$B$18/Prix!$B$4</f>
        <v>3275.86206896552</v>
      </c>
    </row>
    <row r="22" customFormat="false" ht="15" hidden="false" customHeight="false" outlineLevel="0" collapsed="false">
      <c r="A22" s="71" t="n">
        <v>10</v>
      </c>
      <c r="B22" s="72" t="n">
        <f aca="false">$A22*B$19*$B$18/Prix!$B$4</f>
        <v>81.8965517241379</v>
      </c>
      <c r="C22" s="72" t="n">
        <f aca="false">$A22*C$19*$B$18/Prix!$B$4</f>
        <v>204.741379310345</v>
      </c>
      <c r="D22" s="72" t="n">
        <f aca="false">$A22*D$19*$B$18/Prix!$B$4</f>
        <v>409.48275862069</v>
      </c>
      <c r="E22" s="72" t="n">
        <f aca="false">$A22*E$19*$B$18/Prix!$B$4</f>
        <v>818.965517241379</v>
      </c>
      <c r="F22" s="72" t="n">
        <f aca="false">$A22*F$19*$B$18/Prix!$B$4</f>
        <v>1637.93103448276</v>
      </c>
      <c r="G22" s="72" t="n">
        <f aca="false">$A22*G$19*$B$18/Prix!$B$4</f>
        <v>4094.8275862069</v>
      </c>
    </row>
    <row r="23" customFormat="false" ht="15" hidden="false" customHeight="false" outlineLevel="0" collapsed="false">
      <c r="A23" s="71" t="n">
        <v>15</v>
      </c>
      <c r="B23" s="72" t="n">
        <f aca="false">$A23*B$19*$B$18/Prix!$B$4</f>
        <v>122.844827586207</v>
      </c>
      <c r="C23" s="72" t="n">
        <f aca="false">$A23*C$19*$B$18/Prix!$B$4</f>
        <v>307.112068965517</v>
      </c>
      <c r="D23" s="72" t="n">
        <f aca="false">$A23*D$19*$B$18/Prix!$B$4</f>
        <v>614.224137931035</v>
      </c>
      <c r="E23" s="72" t="n">
        <f aca="false">$A23*E$19*$B$18/Prix!$B$4</f>
        <v>1228.44827586207</v>
      </c>
      <c r="F23" s="72" t="n">
        <f aca="false">$A23*F$19*$B$18/Prix!$B$4</f>
        <v>2456.89655172414</v>
      </c>
      <c r="G23" s="72" t="n">
        <f aca="false">$A23*G$19*$B$18/Prix!$B$4</f>
        <v>6142.24137931035</v>
      </c>
    </row>
    <row r="24" customFormat="false" ht="15" hidden="false" customHeight="false" outlineLevel="0" collapsed="false">
      <c r="A24" s="71" t="n">
        <v>20</v>
      </c>
      <c r="B24" s="72" t="n">
        <f aca="false">$A24*B$19*$B$18/Prix!$B$4</f>
        <v>163.793103448276</v>
      </c>
      <c r="C24" s="72" t="n">
        <f aca="false">$A24*C$19*$B$18/Prix!$B$4</f>
        <v>409.48275862069</v>
      </c>
      <c r="D24" s="72" t="n">
        <f aca="false">$A24*D$19*$B$18/Prix!$B$4</f>
        <v>818.965517241379</v>
      </c>
      <c r="E24" s="72" t="n">
        <f aca="false">$A24*E$19*$B$18/Prix!$B$4</f>
        <v>1637.93103448276</v>
      </c>
      <c r="F24" s="72" t="n">
        <f aca="false">$A24*F$19*$B$18/Prix!$B$4</f>
        <v>3275.86206896552</v>
      </c>
      <c r="G24" s="72" t="n">
        <f aca="false">$A24*G$19*$B$18/Prix!$B$4</f>
        <v>8189.65517241379</v>
      </c>
    </row>
    <row r="25" customFormat="false" ht="15" hidden="false" customHeight="false" outlineLevel="0" collapsed="false">
      <c r="A25" s="71" t="n">
        <v>25</v>
      </c>
      <c r="B25" s="72" t="n">
        <f aca="false">$A25*B$19*$B$18/Prix!$B$4</f>
        <v>204.741379310345</v>
      </c>
      <c r="C25" s="72" t="n">
        <f aca="false">$A25*C$19*$B$18/Prix!$B$4</f>
        <v>511.853448275862</v>
      </c>
      <c r="D25" s="72" t="n">
        <f aca="false">$A25*D$19*$B$18/Prix!$B$4</f>
        <v>1023.70689655172</v>
      </c>
      <c r="E25" s="72" t="n">
        <f aca="false">$A25*E$19*$B$18/Prix!$B$4</f>
        <v>2047.41379310345</v>
      </c>
      <c r="F25" s="72" t="n">
        <f aca="false">$A25*F$19*$B$18/Prix!$B$4</f>
        <v>4094.8275862069</v>
      </c>
      <c r="G25" s="72" t="n">
        <f aca="false">$A25*G$19*$B$18/Prix!$B$4</f>
        <v>10237.0689655172</v>
      </c>
    </row>
    <row r="27" customFormat="false" ht="15" hidden="false" customHeight="false" outlineLevel="0" collapsed="false">
      <c r="A27" s="19" t="s">
        <v>268</v>
      </c>
      <c r="B27" s="20"/>
      <c r="C27" s="20"/>
      <c r="D27" s="20"/>
      <c r="E27" s="20"/>
      <c r="F27" s="20"/>
      <c r="G27" s="20"/>
      <c r="H27" s="20"/>
    </row>
    <row r="28" customFormat="false" ht="23.85" hidden="false" customHeight="false" outlineLevel="0" collapsed="false">
      <c r="A28" s="21" t="s">
        <v>269</v>
      </c>
      <c r="B28" s="21" t="s">
        <v>270</v>
      </c>
      <c r="C28" s="21" t="s">
        <v>271</v>
      </c>
      <c r="D28" s="21" t="s">
        <v>272</v>
      </c>
    </row>
    <row r="29" customFormat="false" ht="15" hidden="false" customHeight="false" outlineLevel="0" collapsed="false">
      <c r="A29" s="74" t="n">
        <v>0</v>
      </c>
      <c r="B29" s="75" t="n">
        <f aca="false">Hypothèses!$B$29*(12-A29)</f>
        <v>120</v>
      </c>
      <c r="C29" s="76" t="n">
        <f aca="false">A29/12</f>
        <v>0</v>
      </c>
      <c r="D29" s="75" t="n">
        <f aca="false">B29/12</f>
        <v>10</v>
      </c>
    </row>
    <row r="30" customFormat="false" ht="15" hidden="false" customHeight="false" outlineLevel="0" collapsed="false">
      <c r="A30" s="74" t="n">
        <v>1</v>
      </c>
      <c r="B30" s="75" t="n">
        <f aca="false">Hypothèses!$B$29*(12-A30)</f>
        <v>110</v>
      </c>
      <c r="C30" s="76" t="n">
        <f aca="false">A30/12</f>
        <v>0.0833333333333333</v>
      </c>
      <c r="D30" s="75" t="n">
        <f aca="false">B30/12</f>
        <v>9.16666666666667</v>
      </c>
    </row>
    <row r="31" customFormat="false" ht="15" hidden="false" customHeight="false" outlineLevel="0" collapsed="false">
      <c r="A31" s="74" t="n">
        <v>2</v>
      </c>
      <c r="B31" s="75" t="n">
        <f aca="false">Hypothèses!$B$29*(12-A31)</f>
        <v>100</v>
      </c>
      <c r="C31" s="76" t="n">
        <f aca="false">A31/12</f>
        <v>0.166666666666667</v>
      </c>
      <c r="D31" s="75" t="n">
        <f aca="false">B31/12</f>
        <v>8.33333333333333</v>
      </c>
    </row>
    <row r="32" customFormat="false" ht="15" hidden="false" customHeight="false" outlineLevel="0" collapsed="false">
      <c r="A32" s="74" t="n">
        <v>3</v>
      </c>
      <c r="B32" s="75" t="n">
        <f aca="false">Hypothèses!$B$29*(12-A32)</f>
        <v>90</v>
      </c>
      <c r="C32" s="76" t="n">
        <f aca="false">A32/12</f>
        <v>0.25</v>
      </c>
      <c r="D32" s="75" t="n">
        <f aca="false">B32/12</f>
        <v>7.5</v>
      </c>
    </row>
    <row r="33" customFormat="false" ht="15" hidden="false" customHeight="false" outlineLevel="0" collapsed="false">
      <c r="A33" s="74" t="n">
        <v>4</v>
      </c>
      <c r="B33" s="75" t="n">
        <f aca="false">Hypothèses!$B$29*(12-A33)</f>
        <v>80</v>
      </c>
      <c r="C33" s="76" t="n">
        <f aca="false">A33/12</f>
        <v>0.333333333333333</v>
      </c>
      <c r="D33" s="75" t="n">
        <f aca="false">B33/12</f>
        <v>6.66666666666667</v>
      </c>
    </row>
    <row r="35" customFormat="false" ht="15" hidden="false" customHeight="false" outlineLevel="0" collapsed="false">
      <c r="A35" s="19" t="s">
        <v>273</v>
      </c>
      <c r="B35" s="20"/>
      <c r="C35" s="20"/>
      <c r="D35" s="20"/>
      <c r="E35" s="20"/>
      <c r="F35" s="20"/>
      <c r="G35" s="20"/>
      <c r="H35" s="20"/>
    </row>
    <row r="36" customFormat="false" ht="23.85" hidden="false" customHeight="false" outlineLevel="0" collapsed="false">
      <c r="A36" s="21" t="s">
        <v>274</v>
      </c>
      <c r="B36" s="21" t="s">
        <v>275</v>
      </c>
      <c r="C36" s="21" t="s">
        <v>276</v>
      </c>
      <c r="D36" s="21" t="s">
        <v>277</v>
      </c>
      <c r="E36" s="21" t="s">
        <v>152</v>
      </c>
    </row>
    <row r="37" customFormat="false" ht="15" hidden="false" customHeight="false" outlineLevel="0" collapsed="false">
      <c r="A37" s="13" t="s">
        <v>278</v>
      </c>
      <c r="B37" s="75" t="n">
        <f aca="false">Scénarios!$E$16*(Hypothèses!$B$16+Hypothèses!$B$18*Hypothèses!$B$19)/Prix!$B$4</f>
        <v>8.01724137931035</v>
      </c>
      <c r="C37" s="75" t="n">
        <f aca="false">Scénarios!$E$16*(Hypothèses!$B$18*Hypothèses!$B$20+Hypothèses!$B$17)</f>
        <v>3.6</v>
      </c>
      <c r="D37" s="77" t="n">
        <f aca="false">B37-C37</f>
        <v>4.41724137931035</v>
      </c>
      <c r="E37" s="23" t="s">
        <v>279</v>
      </c>
    </row>
    <row r="38" customFormat="false" ht="15" hidden="false" customHeight="false" outlineLevel="0" collapsed="false">
      <c r="A38" s="13" t="s">
        <v>280</v>
      </c>
      <c r="B38" s="75" t="n">
        <f aca="false">(Scénarios!$E$17*(Hypothèses!$B$16+Hypothèses!$B$18*Hypothèses!$B$19)+Hypothèses!$B$27)/Prix!$B$4</f>
        <v>34.3103448275862</v>
      </c>
      <c r="C38" s="75" t="n">
        <f aca="false">Scénarios!$E$17*(Hypothèses!$B$18*Hypothèses!$B$20+Hypothèses!$B$17)</f>
        <v>9.6</v>
      </c>
      <c r="D38" s="77" t="n">
        <f aca="false">B38-C38</f>
        <v>24.7103448275862</v>
      </c>
      <c r="E38" s="23" t="s">
        <v>281</v>
      </c>
    </row>
    <row r="39" customFormat="false" ht="15" hidden="false" customHeight="false" outlineLevel="0" collapsed="false">
      <c r="A39" s="13" t="s">
        <v>282</v>
      </c>
      <c r="B39" s="75" t="n">
        <f aca="false">(Hypothèses!$B$29*$B$18+Scénarios!$E$21*Scénarios!$E$22*Scénarios!$E$23*(Hypothèses!$B$16+Hypothèses!$B$18*Hypothèses!$B$19))/Prix!$B$4</f>
        <v>33.8448275862069</v>
      </c>
      <c r="C39" s="75" t="n">
        <f aca="false">Scénarios!$E$21*Scénarios!$E$22*Scénarios!$E$23*(Hypothèses!$B$18*Hypothèses!$B$20+Hypothèses!$B$17)</f>
        <v>11.52</v>
      </c>
      <c r="D39" s="77" t="n">
        <f aca="false">B39-C39</f>
        <v>22.3248275862069</v>
      </c>
      <c r="E39" s="23" t="s">
        <v>283</v>
      </c>
    </row>
    <row r="40" customFormat="false" ht="15" hidden="false" customHeight="false" outlineLevel="0" collapsed="false">
      <c r="A40" s="13" t="s">
        <v>284</v>
      </c>
      <c r="B40" s="75" t="n">
        <f aca="false">(Hypothèses!$B$32/Hypothèses!$B$8+Hypothèses!$B$22*Hypothèses!$B$21)/Prix!$B$4</f>
        <v>1.5124016938899</v>
      </c>
      <c r="C40" s="75" t="n">
        <f aca="false">0</f>
        <v>0</v>
      </c>
      <c r="D40" s="77" t="n">
        <f aca="false">B40-C40</f>
        <v>1.5124016938899</v>
      </c>
      <c r="E40" s="23" t="s">
        <v>285</v>
      </c>
    </row>
  </sheetData>
  <conditionalFormatting sqref="B9:F14">
    <cfRule type="expression" priority="2" aboveAverage="0" equalAverage="0" bottom="0" percent="0" rank="0" text="" dxfId="2">
      <formula>ABS($A9-Hypothèses!$B$27)&lt;0.01</formula>
    </cfRule>
  </conditionalFormatting>
  <conditionalFormatting sqref="B20:G25">
    <cfRule type="expression" priority="3" aboveAverage="0" equalAverage="0" bottom="0" percent="0" rank="0" text="" dxfId="2">
      <formula>ABS($A20-Hypothèses!$B$29)&lt;0.01</formula>
    </cfRule>
  </conditionalFormatting>
  <conditionalFormatting sqref="D37:D40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2F5"/>
    <pageSetUpPr fitToPage="tru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8"/>
  </cols>
  <sheetData>
    <row r="1" customFormat="false" ht="24" hidden="false" customHeight="true" outlineLevel="0" collapsed="false">
      <c r="A1" s="17" t="s">
        <v>286</v>
      </c>
    </row>
    <row r="2" customFormat="false" ht="15" hidden="false" customHeight="false" outlineLevel="0" collapsed="false">
      <c r="A2" s="18" t="s">
        <v>287</v>
      </c>
    </row>
    <row r="4" customFormat="false" ht="15" hidden="false" customHeight="false" outlineLevel="0" collapsed="false">
      <c r="A4" s="19" t="s">
        <v>288</v>
      </c>
      <c r="B4" s="20"/>
      <c r="C4" s="20"/>
      <c r="D4" s="20"/>
      <c r="E4" s="20"/>
      <c r="F4" s="20"/>
    </row>
    <row r="5" customFormat="false" ht="15" hidden="false" customHeight="false" outlineLevel="0" collapsed="false">
      <c r="A5" s="13" t="s">
        <v>289</v>
      </c>
      <c r="B5" s="78" t="n">
        <f aca="false">Hypothèses!$B$16/Prix!$B$4</f>
        <v>0.021551724137931</v>
      </c>
    </row>
    <row r="6" customFormat="false" ht="15" hidden="false" customHeight="false" outlineLevel="0" collapsed="false">
      <c r="A6" s="13" t="s">
        <v>290</v>
      </c>
      <c r="B6" s="78" t="n">
        <f aca="false">Hypothèses!$B$18*Hypothèses!$B$19/Prix!$B$4</f>
        <v>0.00517241379310345</v>
      </c>
    </row>
    <row r="7" customFormat="false" ht="15" hidden="false" customHeight="false" outlineLevel="0" collapsed="false">
      <c r="A7" s="13" t="s">
        <v>291</v>
      </c>
      <c r="B7" s="78" t="n">
        <f aca="false">Hypothèses!$B$18*Hypothèses!$B$20+Hypothèses!$B$17</f>
        <v>0.012</v>
      </c>
    </row>
    <row r="8" customFormat="false" ht="15" hidden="false" customHeight="false" outlineLevel="0" collapsed="false">
      <c r="A8" s="38" t="s">
        <v>292</v>
      </c>
      <c r="B8" s="79" t="n">
        <f aca="false">B5+B6-B7</f>
        <v>0.0147241379310345</v>
      </c>
    </row>
    <row r="9" customFormat="false" ht="15" hidden="false" customHeight="false" outlineLevel="0" collapsed="false">
      <c r="A9" s="13" t="s">
        <v>293</v>
      </c>
      <c r="B9" s="75" t="n">
        <f aca="false">B8*Hypothèses!$B$23</f>
        <v>0.29448275862069</v>
      </c>
    </row>
    <row r="11" customFormat="false" ht="15" hidden="false" customHeight="false" outlineLevel="0" collapsed="false">
      <c r="A11" s="19" t="s">
        <v>294</v>
      </c>
      <c r="B11" s="20"/>
      <c r="C11" s="20"/>
      <c r="D11" s="20"/>
      <c r="E11" s="20"/>
      <c r="F11" s="20"/>
    </row>
    <row r="12" customFormat="false" ht="15" hidden="false" customHeight="false" outlineLevel="0" collapsed="false">
      <c r="A12" s="13" t="s">
        <v>295</v>
      </c>
      <c r="B12" s="80" t="n">
        <f aca="false">Hypothèses!$B$55</f>
        <v>1977</v>
      </c>
    </row>
    <row r="13" customFormat="false" ht="15" hidden="false" customHeight="false" outlineLevel="0" collapsed="false">
      <c r="A13" s="13" t="s">
        <v>296</v>
      </c>
      <c r="B13" s="80" t="n">
        <f aca="false">(SUMIF(Prévisions!$C$5:$AL$5,1,Prévisions!$C$38:$AL$38)+SUMIF(Prévisions!$C$5:$AL$5,1,Prévisions!$C$39:$AL$39)+SUMIF(Prévisions!$C$5:$AL$5,1,Prévisions!$C$40:$AL$40))/12/Prix!$B$4</f>
        <v>289.652731684797</v>
      </c>
    </row>
    <row r="14" customFormat="false" ht="15" hidden="false" customHeight="false" outlineLevel="0" collapsed="false">
      <c r="A14" s="13" t="s">
        <v>297</v>
      </c>
      <c r="B14" s="72" t="n">
        <f aca="false">MAX(0,B12-B13)</f>
        <v>1687.3472683152</v>
      </c>
    </row>
    <row r="15" customFormat="false" ht="15" hidden="false" customHeight="false" outlineLevel="0" collapsed="false">
      <c r="A15" s="38" t="s">
        <v>298</v>
      </c>
      <c r="B15" s="65" t="n">
        <f aca="false">IF(B8&lt;=0,"Impossible : la contribution par $ est négative",B14/B8)</f>
        <v>114597.355459346</v>
      </c>
    </row>
    <row r="16" customFormat="false" ht="15" hidden="false" customHeight="false" outlineLevel="0" collapsed="false">
      <c r="A16" s="13" t="s">
        <v>299</v>
      </c>
      <c r="B16" s="81" t="n">
        <f aca="false">IF(ISNUMBER(B15),B15/Hypothèses!$B$23,"-")</f>
        <v>5729.86777296732</v>
      </c>
    </row>
    <row r="17" customFormat="false" ht="15" hidden="false" customHeight="false" outlineLevel="0" collapsed="false">
      <c r="A17" s="13" t="s">
        <v>300</v>
      </c>
      <c r="B17" s="82" t="n">
        <f aca="false">IF(ISNUMBER(B15),B15/Scénarios!$E$16,"-")</f>
        <v>381.991184864488</v>
      </c>
    </row>
    <row r="18" customFormat="false" ht="15" hidden="false" customHeight="false" outlineLevel="0" collapsed="false">
      <c r="A18" s="13" t="s">
        <v>301</v>
      </c>
      <c r="B18" s="82" t="n">
        <f aca="false">IF(Prix!$D$38&lt;=0,"-",B12/Prix!$D$38)</f>
        <v>80.0069773932459</v>
      </c>
    </row>
    <row r="20" customFormat="false" ht="15" hidden="false" customHeight="false" outlineLevel="0" collapsed="false">
      <c r="A20" s="19" t="str">
        <f aca="false">"C. Objectif : bénéfice net de "&amp;TEXT(Hypothèses!$B$77,"#,##0")&amp;" £ par mois"</f>
        <v>C. Objectif : bénéfice net de 1,000 £ par mois</v>
      </c>
      <c r="B20" s="20"/>
      <c r="C20" s="20"/>
      <c r="D20" s="20"/>
      <c r="E20" s="20"/>
      <c r="F20" s="20"/>
    </row>
    <row r="21" customFormat="false" ht="15" hidden="false" customHeight="false" outlineLevel="0" collapsed="false">
      <c r="A21" s="13" t="s">
        <v>302</v>
      </c>
      <c r="B21" s="80" t="n">
        <f aca="false">Hypothèses!$B$77*Hypothèses!$B$9</f>
        <v>1270</v>
      </c>
    </row>
    <row r="22" customFormat="false" ht="15" hidden="false" customHeight="false" outlineLevel="0" collapsed="false">
      <c r="A22" s="13" t="s">
        <v>303</v>
      </c>
      <c r="B22" s="72" t="n">
        <f aca="false">B21/(1-Hypothèses!$B$12)</f>
        <v>1814.28571428571</v>
      </c>
    </row>
    <row r="23" customFormat="false" ht="15" hidden="false" customHeight="false" outlineLevel="0" collapsed="false">
      <c r="A23" s="38" t="s">
        <v>298</v>
      </c>
      <c r="B23" s="83" t="n">
        <f aca="false">IF(B8&lt;=0,"Impossible",(B22+B14)/B8)</f>
        <v>237815.823174301</v>
      </c>
    </row>
    <row r="24" customFormat="false" ht="15" hidden="false" customHeight="false" outlineLevel="0" collapsed="false">
      <c r="A24" s="13" t="s">
        <v>299</v>
      </c>
      <c r="B24" s="84" t="n">
        <f aca="false">IF(ISNUMBER(B23),B23/Hypothèses!$B$23,"-")</f>
        <v>11890.7911587151</v>
      </c>
    </row>
    <row r="25" customFormat="false" ht="15" hidden="false" customHeight="false" outlineLevel="0" collapsed="false">
      <c r="A25" s="13" t="s">
        <v>304</v>
      </c>
      <c r="B25" s="81" t="n">
        <f aca="false">IF(ISNUMBER(B24),B24/30,"-")</f>
        <v>396.359705290502</v>
      </c>
    </row>
    <row r="26" customFormat="false" ht="15" hidden="false" customHeight="false" outlineLevel="0" collapsed="false">
      <c r="A26" s="13" t="s">
        <v>300</v>
      </c>
      <c r="B26" s="81" t="n">
        <f aca="false">IF(ISNUMBER(B23),B23/Scénarios!$E$16,"-")</f>
        <v>792.719410581004</v>
      </c>
    </row>
    <row r="27" customFormat="false" ht="15" hidden="false" customHeight="false" outlineLevel="0" collapsed="false">
      <c r="A27" s="13" t="s">
        <v>305</v>
      </c>
      <c r="B27" s="63" t="str">
        <f aca="false">IF(MIN(Prévisions!$C$62:$AL$62)=999,"Pas en 3 ans","Mois "&amp;MIN(Prévisions!$C$62:$AL$62))</f>
        <v>Mois 23</v>
      </c>
    </row>
    <row r="29" customFormat="false" ht="15" hidden="false" customHeight="false" outlineLevel="0" collapsed="false">
      <c r="A29" s="19" t="s">
        <v>306</v>
      </c>
      <c r="B29" s="20"/>
      <c r="C29" s="20"/>
      <c r="D29" s="20"/>
      <c r="E29" s="20"/>
      <c r="F29" s="20"/>
    </row>
    <row r="30" customFormat="false" ht="15" hidden="false" customHeight="true" outlineLevel="0" collapsed="false">
      <c r="A30" s="13" t="s">
        <v>307</v>
      </c>
      <c r="B30" s="85" t="n">
        <v>500</v>
      </c>
      <c r="D30" s="86" t="s">
        <v>308</v>
      </c>
      <c r="E30" s="86"/>
      <c r="F30" s="86"/>
    </row>
    <row r="31" customFormat="false" ht="15" hidden="false" customHeight="false" outlineLevel="0" collapsed="false">
      <c r="A31" s="13" t="s">
        <v>309</v>
      </c>
      <c r="B31" s="87" t="n">
        <v>20</v>
      </c>
      <c r="D31" s="86"/>
      <c r="E31" s="86"/>
      <c r="F31" s="86"/>
    </row>
    <row r="32" customFormat="false" ht="15" hidden="false" customHeight="false" outlineLevel="0" collapsed="false">
      <c r="A32" s="13" t="s">
        <v>99</v>
      </c>
      <c r="B32" s="36" t="n">
        <f aca="false">Hypothèses!$B$16</f>
        <v>0.025</v>
      </c>
      <c r="D32" s="86"/>
      <c r="E32" s="86"/>
      <c r="F32" s="86"/>
    </row>
    <row r="33" customFormat="false" ht="15" hidden="false" customHeight="false" outlineLevel="0" collapsed="false">
      <c r="A33" s="38" t="s">
        <v>310</v>
      </c>
      <c r="B33" s="77" t="n">
        <f aca="false">B30*B31*B32/Prix!$B$4</f>
        <v>215.51724137931</v>
      </c>
      <c r="D33" s="86"/>
      <c r="E33" s="86"/>
      <c r="F33" s="86"/>
    </row>
    <row r="35" customFormat="false" ht="23.85" hidden="false" customHeight="false" outlineLevel="0" collapsed="false">
      <c r="A35" s="21" t="s">
        <v>311</v>
      </c>
      <c r="B35" s="21" t="s">
        <v>275</v>
      </c>
      <c r="C35" s="21" t="s">
        <v>312</v>
      </c>
      <c r="D35" s="21" t="s">
        <v>313</v>
      </c>
    </row>
    <row r="36" customFormat="false" ht="15" hidden="false" customHeight="false" outlineLevel="0" collapsed="false">
      <c r="A36" s="74" t="n">
        <v>1</v>
      </c>
      <c r="B36" s="72" t="n">
        <f aca="false">A36*$B$33</f>
        <v>215.51724137931</v>
      </c>
      <c r="C36" s="72" t="n">
        <f aca="false">B36*12</f>
        <v>2586.20689655172</v>
      </c>
      <c r="D36" s="76" t="n">
        <f aca="false">IF($B$12=0,0,B36/$B$12)</f>
        <v>0.109012261699196</v>
      </c>
    </row>
    <row r="37" customFormat="false" ht="15" hidden="false" customHeight="false" outlineLevel="0" collapsed="false">
      <c r="A37" s="74" t="n">
        <v>2</v>
      </c>
      <c r="B37" s="72" t="n">
        <f aca="false">A37*$B$33</f>
        <v>431.034482758621</v>
      </c>
      <c r="C37" s="72" t="n">
        <f aca="false">B37*12</f>
        <v>5172.41379310345</v>
      </c>
      <c r="D37" s="76" t="n">
        <f aca="false">IF($B$12=0,0,B37/$B$12)</f>
        <v>0.218024523398392</v>
      </c>
    </row>
    <row r="38" customFormat="false" ht="15" hidden="false" customHeight="false" outlineLevel="0" collapsed="false">
      <c r="A38" s="74" t="n">
        <v>4</v>
      </c>
      <c r="B38" s="72" t="n">
        <f aca="false">A38*$B$33</f>
        <v>862.068965517241</v>
      </c>
      <c r="C38" s="72" t="n">
        <f aca="false">B38*12</f>
        <v>10344.8275862069</v>
      </c>
      <c r="D38" s="76" t="n">
        <f aca="false">IF($B$12=0,0,B38/$B$12)</f>
        <v>0.436049046796784</v>
      </c>
    </row>
    <row r="39" customFormat="false" ht="15" hidden="false" customHeight="false" outlineLevel="0" collapsed="false">
      <c r="A39" s="74" t="n">
        <v>6</v>
      </c>
      <c r="B39" s="72" t="n">
        <f aca="false">A39*$B$33</f>
        <v>1293.10344827586</v>
      </c>
      <c r="C39" s="72" t="n">
        <f aca="false">B39*12</f>
        <v>15517.2413793103</v>
      </c>
      <c r="D39" s="76" t="n">
        <f aca="false">IF($B$12=0,0,B39/$B$12)</f>
        <v>0.654073570195176</v>
      </c>
    </row>
    <row r="40" customFormat="false" ht="15" hidden="false" customHeight="false" outlineLevel="0" collapsed="false">
      <c r="A40" s="74" t="n">
        <v>8</v>
      </c>
      <c r="B40" s="72" t="n">
        <f aca="false">A40*$B$33</f>
        <v>1724.13793103448</v>
      </c>
      <c r="C40" s="72" t="n">
        <f aca="false">B40*12</f>
        <v>20689.6551724138</v>
      </c>
      <c r="D40" s="76" t="n">
        <f aca="false">IF($B$12=0,0,B40/$B$12)</f>
        <v>0.872098093593567</v>
      </c>
    </row>
    <row r="41" customFormat="false" ht="15" hidden="false" customHeight="false" outlineLevel="0" collapsed="false">
      <c r="A41" s="74" t="n">
        <v>10</v>
      </c>
      <c r="B41" s="72" t="n">
        <f aca="false">A41*$B$33</f>
        <v>2155.1724137931</v>
      </c>
      <c r="C41" s="72" t="n">
        <f aca="false">B41*12</f>
        <v>25862.0689655172</v>
      </c>
      <c r="D41" s="76" t="n">
        <f aca="false">IF($B$12=0,0,B41/$B$12)</f>
        <v>1.09012261699196</v>
      </c>
    </row>
    <row r="43" customFormat="false" ht="15" hidden="false" customHeight="false" outlineLevel="0" collapsed="false">
      <c r="A43" s="13" t="s">
        <v>314</v>
      </c>
      <c r="B43" s="84" t="n">
        <f aca="false">IF(B31*B32=0,"-",B12*Prix!$B$4/(B31*B32))</f>
        <v>4586.64</v>
      </c>
    </row>
  </sheetData>
  <mergeCells count="1">
    <mergeCell ref="D30:F33"/>
  </mergeCells>
  <conditionalFormatting sqref="A36:D41">
    <cfRule type="expression" priority="2" aboveAverage="0" equalAverage="0" bottom="0" percent="0" rank="0" text="" dxfId="2">
      <formula>$A36=4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2F5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4"/>
  </cols>
  <sheetData>
    <row r="1" customFormat="false" ht="24" hidden="false" customHeight="true" outlineLevel="0" collapsed="false">
      <c r="A1" s="17" t="s">
        <v>315</v>
      </c>
    </row>
    <row r="2" customFormat="false" ht="15" hidden="false" customHeight="false" outlineLevel="0" collapsed="false">
      <c r="A2" s="18" t="s">
        <v>316</v>
      </c>
    </row>
    <row r="4" customFormat="false" ht="15" hidden="false" customHeight="false" outlineLevel="0" collapsed="false">
      <c r="A4" s="13" t="s">
        <v>317</v>
      </c>
      <c r="B4" s="80" t="n">
        <f aca="false">SUMIF(Prévisions!$C$5:$AL$5,1,Prévisions!$C$28:$AL$28)/12</f>
        <v>30935.7829330175</v>
      </c>
    </row>
    <row r="5" customFormat="false" ht="15" hidden="false" customHeight="false" outlineLevel="0" collapsed="false">
      <c r="A5" s="13" t="s">
        <v>318</v>
      </c>
      <c r="B5" s="36" t="n">
        <f aca="false">Hypothèses!$B$20</f>
        <v>0.02</v>
      </c>
    </row>
    <row r="6" customFormat="false" ht="15" hidden="false" customHeight="false" outlineLevel="0" collapsed="false">
      <c r="A6" s="13" t="s">
        <v>319</v>
      </c>
      <c r="B6" s="36" t="n">
        <f aca="false">Hypothèses!$B$19</f>
        <v>0.01</v>
      </c>
    </row>
    <row r="8" customFormat="false" ht="23.85" hidden="false" customHeight="false" outlineLevel="0" collapsed="false">
      <c r="A8" s="21" t="s">
        <v>210</v>
      </c>
      <c r="B8" s="21" t="s">
        <v>320</v>
      </c>
      <c r="C8" s="21" t="s">
        <v>321</v>
      </c>
      <c r="D8" s="21" t="s">
        <v>322</v>
      </c>
      <c r="E8" s="21" t="s">
        <v>323</v>
      </c>
      <c r="F8" s="21" t="s">
        <v>324</v>
      </c>
    </row>
    <row r="9" customFormat="false" ht="15" hidden="false" customHeight="false" outlineLevel="0" collapsed="false">
      <c r="A9" s="88" t="n">
        <v>0.01</v>
      </c>
      <c r="B9" s="75" t="n">
        <f aca="false">100*A9/Prix!$B$4</f>
        <v>0.862068965517241</v>
      </c>
      <c r="C9" s="75" t="n">
        <f aca="false">100*$B$5</f>
        <v>2</v>
      </c>
      <c r="D9" s="77" t="n">
        <f aca="false">B9-C9</f>
        <v>-1.13793103448276</v>
      </c>
      <c r="E9" s="72" t="n">
        <f aca="false">$B$4/100*D9</f>
        <v>-352.027874755027</v>
      </c>
      <c r="F9" s="7" t="str">
        <f aca="false">IF(D9&lt;0,"Perte",IF(D9&lt;0.3,"Juste","Rentable"))</f>
        <v>Perte</v>
      </c>
    </row>
    <row r="10" customFormat="false" ht="15" hidden="false" customHeight="false" outlineLevel="0" collapsed="false">
      <c r="A10" s="88" t="n">
        <v>0.015</v>
      </c>
      <c r="B10" s="75" t="n">
        <f aca="false">100*A10/Prix!$B$4</f>
        <v>1.29310344827586</v>
      </c>
      <c r="C10" s="75" t="n">
        <f aca="false">100*$B$5</f>
        <v>2</v>
      </c>
      <c r="D10" s="77" t="n">
        <f aca="false">B10-C10</f>
        <v>-0.706896551724138</v>
      </c>
      <c r="E10" s="72" t="n">
        <f aca="false">$B$4/100*D10</f>
        <v>-218.683982802365</v>
      </c>
      <c r="F10" s="7" t="str">
        <f aca="false">IF(D10&lt;0,"Perte",IF(D10&lt;0.3,"Juste","Rentable"))</f>
        <v>Perte</v>
      </c>
    </row>
    <row r="11" customFormat="false" ht="15" hidden="false" customHeight="false" outlineLevel="0" collapsed="false">
      <c r="A11" s="88" t="n">
        <v>0.02</v>
      </c>
      <c r="B11" s="75" t="n">
        <f aca="false">100*A11/Prix!$B$4</f>
        <v>1.72413793103448</v>
      </c>
      <c r="C11" s="75" t="n">
        <f aca="false">100*$B$5</f>
        <v>2</v>
      </c>
      <c r="D11" s="77" t="n">
        <f aca="false">B11-C11</f>
        <v>-0.275862068965517</v>
      </c>
      <c r="E11" s="72" t="n">
        <f aca="false">$B$4/100*D11</f>
        <v>-85.3400908497034</v>
      </c>
      <c r="F11" s="7" t="str">
        <f aca="false">IF(D11&lt;0,"Perte",IF(D11&lt;0.3,"Juste","Rentable"))</f>
        <v>Perte</v>
      </c>
    </row>
    <row r="12" customFormat="false" ht="15" hidden="false" customHeight="false" outlineLevel="0" collapsed="false">
      <c r="A12" s="88" t="n">
        <v>0.025</v>
      </c>
      <c r="B12" s="75" t="n">
        <f aca="false">100*A12/Prix!$B$4</f>
        <v>2.1551724137931</v>
      </c>
      <c r="C12" s="75" t="n">
        <f aca="false">100*$B$5</f>
        <v>2</v>
      </c>
      <c r="D12" s="77" t="n">
        <f aca="false">B12-C12</f>
        <v>0.155172413793104</v>
      </c>
      <c r="E12" s="72" t="n">
        <f aca="false">$B$4/100*D12</f>
        <v>48.0038011029583</v>
      </c>
      <c r="F12" s="7" t="str">
        <f aca="false">IF(D12&lt;0,"Perte",IF(D12&lt;0.3,"Juste","Rentable"))</f>
        <v>Juste</v>
      </c>
    </row>
    <row r="13" customFormat="false" ht="15" hidden="false" customHeight="false" outlineLevel="0" collapsed="false">
      <c r="A13" s="88" t="n">
        <v>0.03</v>
      </c>
      <c r="B13" s="75" t="n">
        <f aca="false">100*A13/Prix!$B$4</f>
        <v>2.58620689655172</v>
      </c>
      <c r="C13" s="75" t="n">
        <f aca="false">100*$B$5</f>
        <v>2</v>
      </c>
      <c r="D13" s="77" t="n">
        <f aca="false">B13-C13</f>
        <v>0.586206896551724</v>
      </c>
      <c r="E13" s="72" t="n">
        <f aca="false">$B$4/100*D13</f>
        <v>181.34769305562</v>
      </c>
      <c r="F13" s="7" t="str">
        <f aca="false">IF(D13&lt;0,"Perte",IF(D13&lt;0.3,"Juste","Rentable"))</f>
        <v>Rentable</v>
      </c>
    </row>
    <row r="14" customFormat="false" ht="15" hidden="false" customHeight="false" outlineLevel="0" collapsed="false">
      <c r="A14" s="88" t="n">
        <v>0.035</v>
      </c>
      <c r="B14" s="75" t="n">
        <f aca="false">100*A14/Prix!$B$4</f>
        <v>3.01724137931035</v>
      </c>
      <c r="C14" s="75" t="n">
        <f aca="false">100*$B$5</f>
        <v>2</v>
      </c>
      <c r="D14" s="77" t="n">
        <f aca="false">B14-C14</f>
        <v>1.01724137931035</v>
      </c>
      <c r="E14" s="72" t="n">
        <f aca="false">$B$4/100*D14</f>
        <v>314.691585008282</v>
      </c>
      <c r="F14" s="7" t="str">
        <f aca="false">IF(D14&lt;0,"Perte",IF(D14&lt;0.3,"Juste","Rentable"))</f>
        <v>Rentable</v>
      </c>
    </row>
    <row r="15" customFormat="false" ht="15" hidden="false" customHeight="false" outlineLevel="0" collapsed="false">
      <c r="A15" s="88" t="n">
        <v>0.04</v>
      </c>
      <c r="B15" s="75" t="n">
        <f aca="false">100*A15/Prix!$B$4</f>
        <v>3.44827586206897</v>
      </c>
      <c r="C15" s="75" t="n">
        <f aca="false">100*$B$5</f>
        <v>2</v>
      </c>
      <c r="D15" s="77" t="n">
        <f aca="false">B15-C15</f>
        <v>1.44827586206897</v>
      </c>
      <c r="E15" s="72" t="n">
        <f aca="false">$B$4/100*D15</f>
        <v>448.035476960943</v>
      </c>
      <c r="F15" s="7" t="str">
        <f aca="false">IF(D15&lt;0,"Perte",IF(D15&lt;0.3,"Juste","Rentable"))</f>
        <v>Rentable</v>
      </c>
    </row>
    <row r="17" customFormat="false" ht="15" hidden="false" customHeight="false" outlineLevel="0" collapsed="false">
      <c r="A17" s="18" t="s">
        <v>325</v>
      </c>
    </row>
  </sheetData>
  <conditionalFormatting sqref="D9:F15">
    <cfRule type="expression" priority="2" aboveAverage="0" equalAverage="0" bottom="0" percent="0" rank="0" text="" dxfId="0">
      <formula>$D9&lt;0</formula>
    </cfRule>
    <cfRule type="expression" priority="3" aboveAverage="0" equalAverage="0" bottom="0" percent="0" rank="0" text="" dxfId="1">
      <formula>$D9&gt;=0.3</formula>
    </cfRule>
  </conditionalFormatting>
  <conditionalFormatting sqref="A9:F15">
    <cfRule type="expression" priority="4" aboveAverage="0" equalAverage="0" bottom="0" percent="0" rank="0" text="" dxfId="2">
      <formula>ABS($A9-$B$6)&lt;0.0001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2F5"/>
    <pageSetUpPr fitToPage="tru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4"/>
  </cols>
  <sheetData>
    <row r="1" customFormat="false" ht="24" hidden="false" customHeight="true" outlineLevel="0" collapsed="false">
      <c r="A1" s="17" t="s">
        <v>326</v>
      </c>
    </row>
    <row r="2" customFormat="false" ht="15" hidden="false" customHeight="false" outlineLevel="0" collapsed="false">
      <c r="A2" s="18" t="s">
        <v>327</v>
      </c>
    </row>
    <row r="4" customFormat="false" ht="15" hidden="false" customHeight="false" outlineLevel="0" collapsed="false">
      <c r="A4" s="13" t="s">
        <v>328</v>
      </c>
      <c r="B4" s="80" t="n">
        <f aca="false">INDEX(Prévisions!$C$55:$AL$55,12)</f>
        <v>-228.255271613358</v>
      </c>
    </row>
    <row r="5" customFormat="false" ht="15" hidden="false" customHeight="false" outlineLevel="0" collapsed="false">
      <c r="A5" s="13" t="s">
        <v>329</v>
      </c>
      <c r="B5" s="80" t="n">
        <f aca="false">INDEX(Prévisions!$C$21:$AL$21,12)+INDEX(Prévisions!$C$22:$AL$22,12)+INDEX(Prévisions!$C$27:$AL$27,12)</f>
        <v>104412.27435579</v>
      </c>
    </row>
    <row r="6" customFormat="false" ht="15" hidden="false" customHeight="false" outlineLevel="0" collapsed="false">
      <c r="A6" s="13" t="s">
        <v>330</v>
      </c>
      <c r="B6" s="36" t="n">
        <f aca="false">Hypothèses!$B$16</f>
        <v>0.025</v>
      </c>
    </row>
    <row r="7" customFormat="false" ht="15" hidden="false" customHeight="false" outlineLevel="0" collapsed="false">
      <c r="A7" s="13" t="s">
        <v>331</v>
      </c>
      <c r="B7" s="78" t="n">
        <f aca="false">Hypothèses!$B$18*(Hypothèses!$B$19/Prix!$B$4-Hypothèses!$B$20)</f>
        <v>-0.00682758620689655</v>
      </c>
    </row>
    <row r="9" customFormat="false" ht="15" hidden="false" customHeight="false" outlineLevel="0" collapsed="false">
      <c r="A9" s="21" t="s">
        <v>332</v>
      </c>
      <c r="B9" s="89" t="n">
        <v>0.5</v>
      </c>
      <c r="C9" s="89" t="n">
        <v>0.75</v>
      </c>
      <c r="D9" s="89" t="n">
        <v>1</v>
      </c>
      <c r="E9" s="89" t="n">
        <v>1.5</v>
      </c>
      <c r="F9" s="89" t="n">
        <v>2</v>
      </c>
      <c r="G9" s="89" t="n">
        <v>3</v>
      </c>
    </row>
    <row r="10" customFormat="false" ht="15" hidden="false" customHeight="false" outlineLevel="0" collapsed="false">
      <c r="A10" s="88" t="n">
        <v>0.01</v>
      </c>
      <c r="B10" s="72" t="n">
        <f aca="false">$B$4-$B$5*($B$6/Prix!$B$4+$B$7)+$B$5*B$9*($A10/Prix!$B$4+$B$7)</f>
        <v>-1672.02499632617</v>
      </c>
      <c r="C10" s="72" t="n">
        <f aca="false">$B$4-$B$5*($B$6/Prix!$B$4+$B$7)+$B$5*C$9*($A10/Prix!$B$4+$B$7)</f>
        <v>-1625.21949402875</v>
      </c>
      <c r="D10" s="72" t="n">
        <f aca="false">$B$4-$B$5*($B$6/Prix!$B$4+$B$7)+$B$5*D$9*($A10/Prix!$B$4+$B$7)</f>
        <v>-1578.41399173133</v>
      </c>
      <c r="E10" s="72" t="n">
        <f aca="false">$B$4-$B$5*($B$6/Prix!$B$4+$B$7)+$B$5*E$9*($A10/Prix!$B$4+$B$7)</f>
        <v>-1484.80298713648</v>
      </c>
      <c r="F10" s="72" t="n">
        <f aca="false">$B$4-$B$5*($B$6/Prix!$B$4+$B$7)+$B$5*F$9*($A10/Prix!$B$4+$B$7)</f>
        <v>-1391.19198254163</v>
      </c>
      <c r="G10" s="72" t="n">
        <f aca="false">$B$4-$B$5*($B$6/Prix!$B$4+$B$7)+$B$5*G$9*($A10/Prix!$B$4+$B$7)</f>
        <v>-1203.96997335194</v>
      </c>
    </row>
    <row r="11" customFormat="false" ht="15" hidden="false" customHeight="false" outlineLevel="0" collapsed="false">
      <c r="A11" s="88" t="n">
        <v>0.015</v>
      </c>
      <c r="B11" s="72" t="n">
        <f aca="false">$B$4-$B$5*($B$6/Prix!$B$4+$B$7)+$B$5*B$9*($A11/Prix!$B$4+$B$7)</f>
        <v>-1446.99854297318</v>
      </c>
      <c r="C11" s="72" t="n">
        <f aca="false">$B$4-$B$5*($B$6/Prix!$B$4+$B$7)+$B$5*C$9*($A11/Prix!$B$4+$B$7)</f>
        <v>-1287.67981399926</v>
      </c>
      <c r="D11" s="72" t="n">
        <f aca="false">$B$4-$B$5*($B$6/Prix!$B$4+$B$7)+$B$5*D$9*($A11/Prix!$B$4+$B$7)</f>
        <v>-1128.36108502534</v>
      </c>
      <c r="E11" s="72" t="n">
        <f aca="false">$B$4-$B$5*($B$6/Prix!$B$4+$B$7)+$B$5*E$9*($A11/Prix!$B$4+$B$7)</f>
        <v>-809.723627077496</v>
      </c>
      <c r="F11" s="72" t="n">
        <f aca="false">$B$4-$B$5*($B$6/Prix!$B$4+$B$7)+$B$5*F$9*($A11/Prix!$B$4+$B$7)</f>
        <v>-491.086169129656</v>
      </c>
      <c r="G11" s="72" t="n">
        <f aca="false">$B$4-$B$5*($B$6/Prix!$B$4+$B$7)+$B$5*G$9*($A11/Prix!$B$4+$B$7)</f>
        <v>146.188746766026</v>
      </c>
    </row>
    <row r="12" customFormat="false" ht="15" hidden="false" customHeight="false" outlineLevel="0" collapsed="false">
      <c r="A12" s="88" t="n">
        <v>0.02</v>
      </c>
      <c r="B12" s="72" t="n">
        <f aca="false">$B$4-$B$5*($B$6/Prix!$B$4+$B$7)+$B$5*B$9*($A12/Prix!$B$4+$B$7)</f>
        <v>-1221.97208962018</v>
      </c>
      <c r="C12" s="72" t="n">
        <f aca="false">$B$4-$B$5*($B$6/Prix!$B$4+$B$7)+$B$5*C$9*($A12/Prix!$B$4+$B$7)</f>
        <v>-950.140133969765</v>
      </c>
      <c r="D12" s="72" t="n">
        <f aca="false">$B$4-$B$5*($B$6/Prix!$B$4+$B$7)+$B$5*D$9*($A12/Prix!$B$4+$B$7)</f>
        <v>-678.308178319347</v>
      </c>
      <c r="E12" s="72" t="n">
        <f aca="false">$B$4-$B$5*($B$6/Prix!$B$4+$B$7)+$B$5*E$9*($A12/Prix!$B$4+$B$7)</f>
        <v>-134.644267018512</v>
      </c>
      <c r="F12" s="72" t="n">
        <f aca="false">$B$4-$B$5*($B$6/Prix!$B$4+$B$7)+$B$5*F$9*($A12/Prix!$B$4+$B$7)</f>
        <v>409.019644282324</v>
      </c>
      <c r="G12" s="72" t="n">
        <f aca="false">$B$4-$B$5*($B$6/Prix!$B$4+$B$7)+$B$5*G$9*($A12/Prix!$B$4+$B$7)</f>
        <v>1496.34746688399</v>
      </c>
    </row>
    <row r="13" customFormat="false" ht="15" hidden="false" customHeight="false" outlineLevel="0" collapsed="false">
      <c r="A13" s="88" t="n">
        <v>0.025</v>
      </c>
      <c r="B13" s="72" t="n">
        <f aca="false">$B$4-$B$5*($B$6/Prix!$B$4+$B$7)+$B$5*B$9*($A13/Prix!$B$4+$B$7)</f>
        <v>-996.945636267188</v>
      </c>
      <c r="C13" s="72" t="n">
        <f aca="false">$B$4-$B$5*($B$6/Prix!$B$4+$B$7)+$B$5*C$9*($A13/Prix!$B$4+$B$7)</f>
        <v>-612.600453940273</v>
      </c>
      <c r="D13" s="72" t="n">
        <f aca="false">$B$4-$B$5*($B$6/Prix!$B$4+$B$7)+$B$5*D$9*($A13/Prix!$B$4+$B$7)</f>
        <v>-228.255271613358</v>
      </c>
      <c r="E13" s="72" t="n">
        <f aca="false">$B$4-$B$5*($B$6/Prix!$B$4+$B$7)+$B$5*E$9*($A13/Prix!$B$4+$B$7)</f>
        <v>540.435093040472</v>
      </c>
      <c r="F13" s="72" t="n">
        <f aca="false">$B$4-$B$5*($B$6/Prix!$B$4+$B$7)+$B$5*F$9*($A13/Prix!$B$4+$B$7)</f>
        <v>1309.1254576943</v>
      </c>
      <c r="G13" s="72" t="n">
        <f aca="false">$B$4-$B$5*($B$6/Prix!$B$4+$B$7)+$B$5*G$9*($A13/Prix!$B$4+$B$7)</f>
        <v>2846.50618700196</v>
      </c>
    </row>
    <row r="14" customFormat="false" ht="15" hidden="false" customHeight="false" outlineLevel="0" collapsed="false">
      <c r="A14" s="88" t="n">
        <v>0.03</v>
      </c>
      <c r="B14" s="72" t="n">
        <f aca="false">$B$4-$B$5*($B$6/Prix!$B$4+$B$7)+$B$5*B$9*($A14/Prix!$B$4+$B$7)</f>
        <v>-771.919182914193</v>
      </c>
      <c r="C14" s="72" t="n">
        <f aca="false">$B$4-$B$5*($B$6/Prix!$B$4+$B$7)+$B$5*C$9*($A14/Prix!$B$4+$B$7)</f>
        <v>-275.060773910781</v>
      </c>
      <c r="D14" s="72" t="n">
        <f aca="false">$B$4-$B$5*($B$6/Prix!$B$4+$B$7)+$B$5*D$9*($A14/Prix!$B$4+$B$7)</f>
        <v>221.797635092631</v>
      </c>
      <c r="E14" s="72" t="n">
        <f aca="false">$B$4-$B$5*($B$6/Prix!$B$4+$B$7)+$B$5*E$9*($A14/Prix!$B$4+$B$7)</f>
        <v>1215.51445309946</v>
      </c>
      <c r="F14" s="72" t="n">
        <f aca="false">$B$4-$B$5*($B$6/Prix!$B$4+$B$7)+$B$5*F$9*($A14/Prix!$B$4+$B$7)</f>
        <v>2209.23127110628</v>
      </c>
      <c r="G14" s="72" t="n">
        <f aca="false">$B$4-$B$5*($B$6/Prix!$B$4+$B$7)+$B$5*G$9*($A14/Prix!$B$4+$B$7)</f>
        <v>4196.66490711993</v>
      </c>
    </row>
    <row r="15" customFormat="false" ht="15" hidden="false" customHeight="false" outlineLevel="0" collapsed="false">
      <c r="A15" s="88" t="n">
        <v>0.035</v>
      </c>
      <c r="B15" s="72" t="n">
        <f aca="false">$B$4-$B$5*($B$6/Prix!$B$4+$B$7)+$B$5*B$9*($A15/Prix!$B$4+$B$7)</f>
        <v>-546.892729561198</v>
      </c>
      <c r="C15" s="72" t="n">
        <f aca="false">$B$4-$B$5*($B$6/Prix!$B$4+$B$7)+$B$5*C$9*($A15/Prix!$B$4+$B$7)</f>
        <v>62.4789061187116</v>
      </c>
      <c r="D15" s="72" t="n">
        <f aca="false">$B$4-$B$5*($B$6/Prix!$B$4+$B$7)+$B$5*D$9*($A15/Prix!$B$4+$B$7)</f>
        <v>671.850541798621</v>
      </c>
      <c r="E15" s="72" t="n">
        <f aca="false">$B$4-$B$5*($B$6/Prix!$B$4+$B$7)+$B$5*E$9*($A15/Prix!$B$4+$B$7)</f>
        <v>1890.59381315844</v>
      </c>
      <c r="F15" s="72" t="n">
        <f aca="false">$B$4-$B$5*($B$6/Prix!$B$4+$B$7)+$B$5*F$9*($A15/Prix!$B$4+$B$7)</f>
        <v>3109.33708451826</v>
      </c>
      <c r="G15" s="72" t="n">
        <f aca="false">$B$4-$B$5*($B$6/Prix!$B$4+$B$7)+$B$5*G$9*($A15/Prix!$B$4+$B$7)</f>
        <v>5546.8236272379</v>
      </c>
    </row>
    <row r="17" customFormat="false" ht="15" hidden="false" customHeight="false" outlineLevel="0" collapsed="false">
      <c r="A17" s="18" t="s">
        <v>333</v>
      </c>
    </row>
  </sheetData>
  <conditionalFormatting sqref="B10:G15">
    <cfRule type="cellIs" priority="2" operator="lessThan" aboveAverage="0" equalAverage="0" bottom="0" percent="0" rank="0" text="" dxfId="3">
      <formula>0</formula>
    </cfRule>
    <cfRule type="cellIs" priority="3" operator="greaterThanOrEqual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2026-10-23T08:23:30Z</dcterms:created>
  <dc:creator>openpyxl</dc:creator>
  <dc:description/>
  <dc:language>en-US</dc:language>
  <cp:lastModifiedBy/>
  <dcterms:modified xsi:type="dcterms:W3CDTF">2026-10-23T08:23:33Z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